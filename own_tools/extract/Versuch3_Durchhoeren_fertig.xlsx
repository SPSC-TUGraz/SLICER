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Lucas Eckert\Desktop\Documenti\Graz\TI-Projekt\grasstools-ecki\own_tools\extract\"/>
    </mc:Choice>
  </mc:AlternateContent>
  <xr:revisionPtr revIDLastSave="0" documentId="13_ncr:1_{E45B2612-CC19-43A3-A403-9771B064BADA}" xr6:coauthVersionLast="47" xr6:coauthVersionMax="47" xr10:uidLastSave="{00000000-0000-0000-0000-000000000000}"/>
  <bookViews>
    <workbookView xWindow="1905" yWindow="1905" windowWidth="21600" windowHeight="11295" xr2:uid="{00000000-000D-0000-FFFF-FFFF00000000}"/>
  </bookViews>
  <sheets>
    <sheet name="Sheet1" sheetId="1" r:id="rId1"/>
    <sheet name="Statistics" sheetId="2" r:id="rId2"/>
  </sheets>
  <definedNames>
    <definedName name="_xlnm._FilterDatabase" localSheetId="1" hidden="1">Statistics!$B$6:$C$74</definedName>
    <definedName name="_xlchart.v1.0" hidden="1">Sheet1!$F$1</definedName>
    <definedName name="_xlchart.v1.1" hidden="1">Sheet1!$F$2:$F$871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82" i="2"/>
  <c r="C83" i="2"/>
  <c r="C84" i="2"/>
  <c r="C85" i="2"/>
  <c r="C86" i="2"/>
  <c r="C87" i="2"/>
  <c r="C88" i="2"/>
  <c r="C89" i="2"/>
  <c r="C90" i="2"/>
  <c r="C91" i="2"/>
  <c r="C92" i="2"/>
  <c r="C93" i="2"/>
  <c r="C94" i="2"/>
  <c r="C95" i="2"/>
  <c r="C96" i="2"/>
  <c r="C97" i="2"/>
  <c r="C98" i="2"/>
  <c r="C99" i="2"/>
  <c r="C100" i="2"/>
  <c r="C101" i="2"/>
  <c r="C2" i="2"/>
  <c r="B6" i="2" a="1"/>
  <c r="C79" i="2" s="1"/>
  <c r="B2" i="2"/>
  <c r="D2" i="2"/>
  <c r="E2" i="2"/>
  <c r="D4" i="2"/>
  <c r="C4" i="2"/>
  <c r="B4" i="2"/>
  <c r="C80" i="2" l="1"/>
  <c r="B6" i="2"/>
  <c r="C6" i="2" s="1"/>
  <c r="C78" i="2"/>
  <c r="C66" i="2"/>
  <c r="E66" i="2" s="1"/>
  <c r="C54" i="2"/>
  <c r="F54" i="2" s="1"/>
  <c r="C42" i="2"/>
  <c r="C30" i="2"/>
  <c r="C18" i="2"/>
  <c r="C77" i="2"/>
  <c r="C65" i="2"/>
  <c r="F65" i="2" s="1"/>
  <c r="C53" i="2"/>
  <c r="F53" i="2" s="1"/>
  <c r="C41" i="2"/>
  <c r="C29" i="2"/>
  <c r="C17" i="2"/>
  <c r="C76" i="2"/>
  <c r="C64" i="2"/>
  <c r="E64" i="2" s="1"/>
  <c r="C52" i="2"/>
  <c r="E52" i="2" s="1"/>
  <c r="C40" i="2"/>
  <c r="C28" i="2"/>
  <c r="C16" i="2"/>
  <c r="C75" i="2"/>
  <c r="C63" i="2"/>
  <c r="E63" i="2" s="1"/>
  <c r="C51" i="2"/>
  <c r="E51" i="2" s="1"/>
  <c r="C39" i="2"/>
  <c r="C27" i="2"/>
  <c r="C15" i="2"/>
  <c r="C74" i="2"/>
  <c r="C62" i="2"/>
  <c r="E62" i="2" s="1"/>
  <c r="C50" i="2"/>
  <c r="E50" i="2" s="1"/>
  <c r="C38" i="2"/>
  <c r="C26" i="2"/>
  <c r="C14" i="2"/>
  <c r="C73" i="2"/>
  <c r="C61" i="2"/>
  <c r="E61" i="2" s="1"/>
  <c r="C49" i="2"/>
  <c r="C37" i="2"/>
  <c r="C25" i="2"/>
  <c r="C13" i="2"/>
  <c r="C72" i="2"/>
  <c r="C60" i="2"/>
  <c r="F60" i="2" s="1"/>
  <c r="C48" i="2"/>
  <c r="F48" i="2" s="1"/>
  <c r="C36" i="2"/>
  <c r="C24" i="2"/>
  <c r="C12" i="2"/>
  <c r="C71" i="2"/>
  <c r="C59" i="2"/>
  <c r="F59" i="2" s="1"/>
  <c r="C47" i="2"/>
  <c r="C35" i="2"/>
  <c r="C23" i="2"/>
  <c r="C11" i="2"/>
  <c r="C70" i="2"/>
  <c r="F70" i="2" s="1"/>
  <c r="C58" i="2"/>
  <c r="E58" i="2" s="1"/>
  <c r="C46" i="2"/>
  <c r="C34" i="2"/>
  <c r="C22" i="2"/>
  <c r="C10" i="2"/>
  <c r="C69" i="2"/>
  <c r="E69" i="2" s="1"/>
  <c r="C57" i="2"/>
  <c r="E57" i="2" s="1"/>
  <c r="C45" i="2"/>
  <c r="C33" i="2"/>
  <c r="C21" i="2"/>
  <c r="C9" i="2"/>
  <c r="C68" i="2"/>
  <c r="E68" i="2" s="1"/>
  <c r="C56" i="2"/>
  <c r="E56" i="2" s="1"/>
  <c r="C44" i="2"/>
  <c r="C32" i="2"/>
  <c r="C20" i="2"/>
  <c r="C8" i="2"/>
  <c r="C67" i="2"/>
  <c r="E67" i="2" s="1"/>
  <c r="C55" i="2"/>
  <c r="E55" i="2" s="1"/>
  <c r="C43" i="2"/>
  <c r="C31" i="2"/>
  <c r="C19" i="2"/>
  <c r="C7" i="2"/>
  <c r="E53" i="2" l="1"/>
  <c r="E70" i="2"/>
  <c r="F66" i="2"/>
  <c r="E65" i="2"/>
  <c r="E59" i="2"/>
  <c r="F55" i="2"/>
  <c r="E54" i="2"/>
  <c r="F61" i="2"/>
  <c r="F67" i="2"/>
  <c r="F50" i="2"/>
  <c r="F56" i="2"/>
  <c r="E48" i="2"/>
  <c r="F62" i="2"/>
  <c r="F68" i="2"/>
  <c r="E60" i="2"/>
  <c r="F51" i="2"/>
  <c r="F57" i="2"/>
  <c r="F63" i="2"/>
  <c r="F69" i="2"/>
  <c r="F52" i="2"/>
  <c r="F58" i="2"/>
  <c r="F64" i="2"/>
  <c r="F73" i="2"/>
  <c r="E73" i="2"/>
  <c r="F93" i="2"/>
  <c r="E93" i="2"/>
  <c r="F91" i="2"/>
  <c r="E91" i="2"/>
  <c r="F79" i="2"/>
  <c r="E79" i="2"/>
  <c r="F100" i="2"/>
  <c r="E100" i="2"/>
  <c r="F9" i="2"/>
  <c r="E9" i="2"/>
  <c r="F84" i="2"/>
  <c r="E84" i="2"/>
  <c r="F17" i="2"/>
  <c r="E17" i="2"/>
  <c r="F71" i="2"/>
  <c r="E71" i="2"/>
  <c r="F22" i="2"/>
  <c r="E22" i="2"/>
  <c r="F11" i="2"/>
  <c r="E11" i="2"/>
  <c r="F97" i="2"/>
  <c r="E97" i="2"/>
  <c r="F15" i="2"/>
  <c r="E15" i="2"/>
  <c r="F95" i="2"/>
  <c r="E95" i="2"/>
  <c r="F26" i="2"/>
  <c r="E26" i="2"/>
  <c r="F28" i="2"/>
  <c r="E28" i="2"/>
  <c r="F30" i="2"/>
  <c r="E30" i="2"/>
  <c r="F32" i="2"/>
  <c r="E32" i="2"/>
  <c r="F34" i="2"/>
  <c r="E34" i="2"/>
  <c r="F85" i="2"/>
  <c r="E85" i="2"/>
  <c r="F72" i="2"/>
  <c r="E72" i="2"/>
  <c r="F49" i="2"/>
  <c r="E49" i="2"/>
  <c r="F89" i="2"/>
  <c r="E89" i="2"/>
  <c r="F92" i="2"/>
  <c r="E92" i="2"/>
  <c r="F24" i="2"/>
  <c r="E24" i="2"/>
  <c r="F36" i="2"/>
  <c r="E36" i="2"/>
  <c r="F38" i="2"/>
  <c r="E38" i="2"/>
  <c r="F40" i="2"/>
  <c r="E40" i="2"/>
  <c r="F42" i="2"/>
  <c r="E42" i="2"/>
  <c r="F44" i="2"/>
  <c r="E44" i="2"/>
  <c r="F46" i="2"/>
  <c r="E46" i="2"/>
  <c r="F7" i="2"/>
  <c r="E7" i="2"/>
  <c r="F77" i="2"/>
  <c r="E77" i="2"/>
  <c r="F8" i="2"/>
  <c r="E8" i="2"/>
  <c r="F80" i="2"/>
  <c r="E80" i="2"/>
  <c r="F90" i="2"/>
  <c r="E90" i="2"/>
  <c r="F81" i="2"/>
  <c r="E81" i="2"/>
  <c r="F96" i="2"/>
  <c r="E96" i="2"/>
  <c r="F12" i="2"/>
  <c r="E12" i="2"/>
  <c r="F13" i="2"/>
  <c r="E13" i="2"/>
  <c r="F87" i="2"/>
  <c r="E87" i="2"/>
  <c r="F94" i="2"/>
  <c r="E94" i="2"/>
  <c r="F101" i="2"/>
  <c r="E101" i="2"/>
  <c r="F75" i="2"/>
  <c r="E75" i="2"/>
  <c r="F99" i="2"/>
  <c r="E99" i="2"/>
  <c r="F14" i="2"/>
  <c r="E14" i="2"/>
  <c r="F82" i="2"/>
  <c r="E82" i="2"/>
  <c r="F86" i="2"/>
  <c r="E86" i="2"/>
  <c r="F74" i="2"/>
  <c r="E74" i="2"/>
  <c r="F18" i="2"/>
  <c r="E18" i="2"/>
  <c r="F21" i="2"/>
  <c r="E21" i="2"/>
  <c r="F23" i="2"/>
  <c r="E23" i="2"/>
  <c r="F78" i="2"/>
  <c r="E78" i="2"/>
  <c r="F98" i="2"/>
  <c r="E98" i="2"/>
  <c r="F10" i="2"/>
  <c r="E10" i="2"/>
  <c r="F88" i="2"/>
  <c r="E88" i="2"/>
  <c r="F19" i="2"/>
  <c r="E19" i="2"/>
  <c r="F25" i="2"/>
  <c r="E25" i="2"/>
  <c r="F27" i="2"/>
  <c r="E27" i="2"/>
  <c r="F29" i="2"/>
  <c r="E29" i="2"/>
  <c r="F31" i="2"/>
  <c r="E31" i="2"/>
  <c r="F33" i="2"/>
  <c r="E33" i="2"/>
  <c r="F35" i="2"/>
  <c r="E35" i="2"/>
  <c r="F6" i="2"/>
  <c r="E6" i="2"/>
  <c r="F76" i="2"/>
  <c r="E76" i="2"/>
  <c r="F83" i="2"/>
  <c r="E83" i="2"/>
  <c r="F16" i="2"/>
  <c r="E16" i="2"/>
  <c r="F20" i="2"/>
  <c r="E20" i="2"/>
  <c r="F37" i="2"/>
  <c r="E37" i="2"/>
  <c r="F39" i="2"/>
  <c r="E39" i="2"/>
  <c r="F41" i="2"/>
  <c r="E41" i="2"/>
  <c r="F43" i="2"/>
  <c r="E43" i="2"/>
  <c r="F45" i="2"/>
  <c r="E45" i="2"/>
  <c r="F47" i="2"/>
  <c r="E47" i="2"/>
  <c r="H6" i="2" l="1" a="1"/>
  <c r="H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<sst xmlns="http://schemas.openxmlformats.org/spreadsheetml/2006/main" count="7558" uniqueCount="2378">
  <si>
    <t>Checknumber</t>
  </si>
  <si>
    <t>Speaker</t>
  </si>
  <si>
    <t>Label</t>
  </si>
  <si>
    <t>Count</t>
  </si>
  <si>
    <t>Start time</t>
  </si>
  <si>
    <t>End time</t>
  </si>
  <si>
    <t>WAV_Link</t>
  </si>
  <si>
    <t>Valid</t>
  </si>
  <si>
    <t>Reason</t>
  </si>
  <si>
    <t>Close to</t>
  </si>
  <si>
    <t>Glued</t>
  </si>
  <si>
    <t>Other DF</t>
  </si>
  <si>
    <t>Multi-FP</t>
  </si>
  <si>
    <t>FP-length</t>
  </si>
  <si>
    <t>Struct. cont.</t>
  </si>
  <si>
    <t>Word2Word</t>
  </si>
  <si>
    <t>Phrase</t>
  </si>
  <si>
    <t>PCOMP</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</si>
  <si>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</si>
  <si>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</si>
  <si>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</si>
  <si>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</si>
  <si>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</si>
  <si>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</si>
  <si>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</si>
  <si>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</si>
  <si>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</si>
  <si>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</si>
  <si>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</si>
  <si>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</si>
  <si>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</si>
  <si>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</si>
  <si>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</si>
  <si>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</si>
  <si>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</si>
  <si>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</si>
  <si>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</si>
  <si>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</si>
  <si>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</si>
  <si>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</si>
  <si>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</si>
  <si>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</si>
  <si>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</si>
  <si>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</si>
  <si>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</si>
  <si>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</si>
  <si>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</si>
  <si>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</si>
  <si>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</si>
  <si>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</si>
  <si>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 xml:space="preserve"> &lt;breathingIN&gt;&lt;smack&gt;&lt;breathingIN&gt; &lt;noise&gt; change &lt;breathingOUT&gt; &lt;breathingIN&gt; &lt;noise&gt; hes hold hold &lt;breathingIN&gt; hold hold</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</si>
  <si>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</si>
  <si>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</si>
  <si>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</si>
  <si>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</si>
  <si>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</si>
  <si>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</si>
  <si>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</si>
  <si>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</si>
  <si>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</si>
  <si>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</si>
  <si>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</si>
  <si>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</si>
  <si>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</si>
  <si>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</si>
  <si>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</si>
  <si>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</si>
  <si>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</si>
  <si>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 xml:space="preserve"> &lt;noise&gt; &lt;smack&gt; &lt;breathingIN&gt; hrt &lt;breathingOUT&gt; &lt;noise&gt; change_hold &lt;breathingOUT&gt; &lt;breathingIN&gt; hes change &lt;breathingIN&gt;&lt;smack&gt;&lt;breathingIN&gt; part_hold@ change &lt;breathingOUT&gt; &lt;noise&gt; &lt;breathingIN&gt; hrt</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</si>
  <si>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</si>
  <si>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</si>
  <si>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</si>
  <si>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</si>
  <si>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</si>
  <si>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</si>
  <si>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</si>
  <si>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</si>
  <si>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</si>
  <si>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</si>
  <si>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</si>
  <si>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</si>
  <si>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</si>
  <si>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</si>
  <si>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</si>
  <si>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</si>
  <si>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</si>
  <si>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</si>
  <si>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</si>
  <si>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</si>
  <si>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</si>
  <si>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</si>
  <si>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</si>
  <si>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</si>
  <si>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</si>
  <si>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</si>
  <si>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</si>
  <si>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</si>
  <si>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</si>
  <si>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</si>
  <si>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</si>
  <si>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</si>
  <si>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</si>
  <si>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</si>
  <si>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</si>
  <si>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</si>
  <si>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</si>
  <si>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</si>
  <si>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</si>
  <si>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</si>
  <si>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</si>
  <si>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</si>
  <si>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</si>
  <si>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</si>
  <si>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</si>
  <si>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</si>
  <si>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</si>
  <si>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</si>
  <si>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</si>
  <si>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</si>
  <si>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</si>
  <si>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</si>
  <si>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 xml:space="preserve"> hold_question hold_question &lt;breathingOUT&gt; hold hold part_hold@ hold part_hold@ disruption@ hold hold &lt;breathingIN&gt; hes hold &lt;breathingOUT&gt; &lt;breathingIN&gt; cont change &lt;breathingIN&gt; part</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</si>
  <si>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</si>
  <si>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</si>
  <si>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</si>
  <si>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</si>
  <si>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</si>
  <si>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</si>
  <si>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</si>
  <si>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</si>
  <si>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</si>
  <si>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</si>
  <si>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</si>
  <si>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</si>
  <si>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</si>
  <si>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 xml:space="preserve"> hold &lt;breathingOUT&gt; &lt;smack&gt; &lt;breathingIN&gt; disruption hold hold hold hold &lt;breathingIN&gt;</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</si>
  <si>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</si>
  <si>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</si>
  <si>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 xml:space="preserve"> hold &lt;breathingIN&gt; hold hold hold cont hold hold &lt;breathingOUT&gt;</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</si>
  <si>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</si>
  <si>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</si>
  <si>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 xml:space="preserve"> hold hold hold cont hold hold &lt;breathingOUT&gt; &lt;breathingIN&gt;&lt;smack&gt;&lt;breathingIN&gt;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</si>
  <si>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</si>
  <si>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</si>
  <si>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 xml:space="preserve"> &lt;breathingIN&gt;&lt;smack&gt;&lt;breathingIN&gt; &lt;smack&gt; &lt;smack&gt; hes &lt;breathingIN&gt; &lt;breathingIN&gt;&lt;smack&gt;&lt;breathingIN&gt; hold cont cont</t>
  </si>
  <si>
    <t>file:///C:/TI_projekt_daten/Audio/003M_äh_005.wav</t>
  </si>
  <si>
    <t>{ &lt;breathingIN&gt; } [ zum ] [ simultanen ] Messen von &lt;breathingIN&gt;  äh Grundfrequenzen in Sprachen &lt;breathingOUT&gt; { &lt;smack&gt; } [ wenn Leute ] durcheinander &lt;*DIAL&gt;keppln</t>
  </si>
  <si>
    <t xml:space="preserve"> &lt;smack&gt; &lt;breathingIN&gt; cont cont &lt;breathingOUT&gt; &lt;smack&gt; change &lt;breathingIN&gt;</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</si>
  <si>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</si>
  <si>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</si>
  <si>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</si>
  <si>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</si>
  <si>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</si>
  <si>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</si>
  <si>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</si>
  <si>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</si>
  <si>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</si>
  <si>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</si>
  <si>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</si>
  <si>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</si>
  <si>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</si>
  <si>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</si>
  <si>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</si>
  <si>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</si>
  <si>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</si>
  <si>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</si>
  <si>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</si>
  <si>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</si>
  <si>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</si>
  <si>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</si>
  <si>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</si>
  <si>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</si>
  <si>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</si>
  <si>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</si>
  <si>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</si>
  <si>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</si>
  <si>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</si>
  <si>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</si>
  <si>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</si>
  <si>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</si>
  <si>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</si>
  <si>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</si>
  <si>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</si>
  <si>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</si>
  <si>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</si>
  <si>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</si>
  <si>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</si>
  <si>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</si>
  <si>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</si>
  <si>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</si>
  <si>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</si>
  <si>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</si>
  <si>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</si>
  <si>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</si>
  <si>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</si>
  <si>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</si>
  <si>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</si>
  <si>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</si>
  <si>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 xml:space="preserve"> disruption change &lt;breathingIN&gt;&lt;smack&gt;&lt;breathingIN&gt;</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</si>
  <si>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</si>
  <si>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</si>
  <si>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</si>
  <si>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</si>
  <si>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</si>
  <si>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</si>
  <si>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 xml:space="preserve"> hold cont hold disruption &lt;breathingIN&gt; hes &lt;smack&gt; cont hold @disruption &lt;breathingOUT&gt;</t>
  </si>
  <si>
    <t>file:///C:/TI_projekt_daten/Audio/003M_ahm_002.wav</t>
  </si>
  <si>
    <t>&lt;breathingOUT&gt; &lt;smack&gt; &lt;noise&gt; { &lt;breathingIN&gt; } { &lt;breathingOUT&gt; } [ &lt;breathingIN&gt;&lt;smack&gt;&lt;breathingIN&gt; ]  ahm &lt;smack&gt; ja der hat da eben Sprache aufgenommen &lt;breathingOUT&gt; [ also ]</t>
  </si>
  <si>
    <t xml:space="preserve"> &lt;breathingOUT&gt; &lt;smack&gt; &lt;noise&gt; &lt;breathingIN&gt; &lt;breathingOUT&gt; &lt;breathingIN&gt;&lt;smack&gt;&lt;breathingIN&gt; hes &lt;smack&gt; hold hold &lt;breathingOUT&gt; @disruption &lt;breathingIN&gt;</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</si>
  <si>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</si>
  <si>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</si>
  <si>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</si>
  <si>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</si>
  <si>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</si>
  <si>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</si>
  <si>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</si>
  <si>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</si>
  <si>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</si>
  <si>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</si>
  <si>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</si>
  <si>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</si>
  <si>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</si>
  <si>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</si>
  <si>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</si>
  <si>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</si>
  <si>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</si>
  <si>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</si>
  <si>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</si>
  <si>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</si>
  <si>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</si>
  <si>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</si>
  <si>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</si>
  <si>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</si>
  <si>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</si>
  <si>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</si>
  <si>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</si>
  <si>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</si>
  <si>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</si>
  <si>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</si>
  <si>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</si>
  <si>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</si>
  <si>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</si>
  <si>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</si>
  <si>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</si>
  <si>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</si>
  <si>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</si>
  <si>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</si>
  <si>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</si>
  <si>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</si>
  <si>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</si>
  <si>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</si>
  <si>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</si>
  <si>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</si>
  <si>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</si>
  <si>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</si>
  <si>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</si>
  <si>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</si>
  <si>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</si>
  <si>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</si>
  <si>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</si>
  <si>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</si>
  <si>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</si>
  <si>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</si>
  <si>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</si>
  <si>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</si>
  <si>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</si>
  <si>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</si>
  <si>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</si>
  <si>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</si>
  <si>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</si>
  <si>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</si>
  <si>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</si>
  <si>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</si>
  <si>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</si>
  <si>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</si>
  <si>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</si>
  <si>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</si>
  <si>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</si>
  <si>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</si>
  <si>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</si>
  <si>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</si>
  <si>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</si>
  <si>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</si>
  <si>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</si>
  <si>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</si>
  <si>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</si>
  <si>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</si>
  <si>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</si>
  <si>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</si>
  <si>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</si>
  <si>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</si>
  <si>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</si>
  <si>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</si>
  <si>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</si>
  <si>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</si>
  <si>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</si>
  <si>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</si>
  <si>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</si>
  <si>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</si>
  <si>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</si>
  <si>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</si>
  <si>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</si>
  <si>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</si>
  <si>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</si>
  <si>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</si>
  <si>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</si>
  <si>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</si>
  <si>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</si>
  <si>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</si>
  <si>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</si>
  <si>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</si>
  <si>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</si>
  <si>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</si>
  <si>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</si>
  <si>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</si>
  <si>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</si>
  <si>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</si>
  <si>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</si>
  <si>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</si>
  <si>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</si>
  <si>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</si>
  <si>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</si>
  <si>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</si>
  <si>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</si>
  <si>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</si>
  <si>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</si>
  <si>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</si>
  <si>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</si>
  <si>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</si>
  <si>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</si>
  <si>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</si>
  <si>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</si>
  <si>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</si>
  <si>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</si>
  <si>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</si>
  <si>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</si>
  <si>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</si>
  <si>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</si>
  <si>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</si>
  <si>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</si>
  <si>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</si>
  <si>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</si>
  <si>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</si>
  <si>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</si>
  <si>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</si>
  <si>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</si>
  <si>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</si>
  <si>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</si>
  <si>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</si>
  <si>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</si>
  <si>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</si>
  <si>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</si>
  <si>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</si>
  <si>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</si>
  <si>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</si>
  <si>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 xml:space="preserve"> disruption</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</si>
  <si>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</si>
  <si>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</si>
  <si>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</si>
  <si>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</si>
  <si>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</si>
  <si>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</si>
  <si>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 xml:space="preserve"> change &lt;breathingOUT&gt; part hold &lt;breathingIN&gt; change_hold &lt;breathingOUT&gt; &lt;breathingIN&gt; &lt;breathingOUT&gt; change</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</si>
  <si>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</si>
  <si>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</si>
  <si>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</si>
  <si>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</si>
  <si>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</si>
  <si>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</si>
  <si>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</si>
  <si>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</si>
  <si>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</si>
  <si>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</si>
  <si>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</si>
  <si>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</si>
  <si>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</si>
  <si>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</si>
  <si>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</si>
  <si>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</si>
  <si>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</si>
  <si>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</si>
  <si>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</si>
  <si>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</si>
  <si>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</si>
  <si>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</si>
  <si>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</si>
  <si>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</si>
  <si>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</si>
  <si>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 xml:space="preserve"> &lt;laughter&gt;</t>
  </si>
  <si>
    <t>009M</t>
  </si>
  <si>
    <t>file:///C:/TI_projekt_daten/Audio/009M_äh_001.wav</t>
  </si>
  <si>
    <t>{ &lt;breathingOUT&gt; } [ &lt;&amp;b&gt;#fün ]  es steht ja dabei dass das &lt;&amp;b&gt;of äh effektiv ausgelegt ist darauf einfach nur Schaden zu [ machen ]</t>
  </si>
  <si>
    <t xml:space="preserve">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</si>
  <si>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</si>
  <si>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</si>
  <si>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 xml:space="preserve"> hold hold hold &lt;breathingIN&gt; hold &lt;breathingIN&gt; cont change_part &lt;breathingOUT&gt; &lt;breathingIN&gt; &lt;breathingOUT&gt; hrt</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</si>
  <si>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</si>
  <si>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</si>
  <si>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</si>
  <si>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</si>
  <si>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</si>
  <si>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</si>
  <si>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</si>
  <si>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</si>
  <si>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</si>
  <si>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</si>
  <si>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</si>
  <si>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</si>
  <si>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</si>
  <si>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</si>
  <si>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</si>
  <si>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</si>
  <si>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</si>
  <si>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</si>
  <si>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</si>
  <si>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</si>
  <si>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</si>
  <si>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</si>
  <si>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</si>
  <si>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</si>
  <si>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</si>
  <si>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</si>
  <si>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</si>
  <si>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</si>
  <si>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</si>
  <si>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</si>
  <si>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</si>
  <si>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 xml:space="preserve"> &lt;breathingIN&gt;</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</si>
  <si>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</si>
  <si>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</si>
  <si>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</si>
  <si>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</si>
  <si>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</si>
  <si>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</si>
  <si>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</si>
  <si>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</si>
  <si>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</si>
  <si>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</si>
  <si>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</si>
  <si>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</si>
  <si>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</si>
  <si>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</si>
  <si>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</si>
  <si>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</si>
  <si>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</si>
  <si>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</si>
  <si>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</si>
  <si>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</si>
  <si>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 xml:space="preserve"> hold &lt;breathingIN&gt; &lt;noise&gt; hes disruption hold &lt;breathingIN&gt; hold &lt;breathingIN&gt; disruption &lt;noise&gt; hold &lt;breathingIN&gt;</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</si>
  <si>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</si>
  <si>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</si>
  <si>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</si>
  <si>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</si>
  <si>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</si>
  <si>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</si>
  <si>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</si>
  <si>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</si>
  <si>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</si>
  <si>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</si>
  <si>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</si>
  <si>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</si>
  <si>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</si>
  <si>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</si>
  <si>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</si>
  <si>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</si>
  <si>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</si>
  <si>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</si>
  <si>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</si>
  <si>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</si>
  <si>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</si>
  <si>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</si>
  <si>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</si>
  <si>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</si>
  <si>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</si>
  <si>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</si>
  <si>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</si>
  <si>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</si>
  <si>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</si>
  <si>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</si>
  <si>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</si>
  <si>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</si>
  <si>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</si>
  <si>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</si>
  <si>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</si>
  <si>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</si>
  <si>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</si>
  <si>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</si>
  <si>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</si>
  <si>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</si>
  <si>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</si>
  <si>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</si>
  <si>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</si>
  <si>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</si>
  <si>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 xml:space="preserve"> hold hold &lt;breathingIN&gt; hes &lt;breathingOUT&gt; hold hold &lt;breathingOUT&gt; cont hold_change hold</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</si>
  <si>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</si>
  <si>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</si>
  <si>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 xml:space="preserve"> &lt;breathingIN&gt; &lt;breathingOUT&gt; cont cont cont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</si>
  <si>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</si>
  <si>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</si>
  <si>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</si>
  <si>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</si>
  <si>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</si>
  <si>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</si>
  <si>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</si>
  <si>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</si>
  <si>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</si>
  <si>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</si>
  <si>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</si>
  <si>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</si>
  <si>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</si>
  <si>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</si>
  <si>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</si>
  <si>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</si>
  <si>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</si>
  <si>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</si>
  <si>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</si>
  <si>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</si>
  <si>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</si>
  <si>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</si>
  <si>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</si>
  <si>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</si>
  <si>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</si>
  <si>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</si>
  <si>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</si>
  <si>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 xml:space="preserve"> &lt;breathingIN&gt; &lt;smack&gt; hold &lt;breathingOUT&gt; hold part incomplete hes part part hes disruption hes hold hold cont cont hold change &lt;breathingOUT&gt; &lt;breathingIN&gt;</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</si>
  <si>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</si>
  <si>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</si>
  <si>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 xml:space="preserve"> cont hold cont hold hold cont cont_hold change &lt;breathingIN&gt; part hold hold &lt;laughter&gt; &lt;breathingIN&gt;</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</si>
  <si>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</si>
  <si>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</si>
  <si>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 xml:space="preserve"> &lt;breathingIN&gt; hold hold disruption hes &lt;breathingOUT&gt; hes hold hold hold &lt;breathingIN&gt; part change &lt;breathingIN&gt; hold</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</si>
  <si>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</si>
  <si>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</si>
  <si>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 xml:space="preserve"> hold cont change &lt;breathingIN&gt; &lt;breathingOUT&gt; &lt;breathingIN&gt; &lt;noise&gt; hes change_cont cont hold hold hold incomplete hrt hrt &lt;breathingIN&gt; cont change hrt &lt;breathingOUT&gt; hold</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</si>
  <si>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</si>
  <si>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</si>
  <si>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 xml:space="preserve"> hold disruption &lt;breathingIN&gt; &lt;smack&gt; hes &lt;breathingOUT&gt; hes cont hold &lt;breathingOUT&gt; hold &lt;breathingIN&gt; incomplete hold</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</si>
  <si>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</si>
  <si>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</si>
  <si>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 xml:space="preserve"> incomplete hold hold hold cont cont hold &lt;breathingIN&gt; hold &lt;breathingIN&gt;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</si>
  <si>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</si>
  <si>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</si>
  <si>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 xml:space="preserve"> &lt;breathingIN&gt; &lt;smack&gt; hold change_hold change &lt;breathingIN&gt; hold &lt;breathingIN&gt; hes &lt;breathingIN&gt; disruption &lt;breathingIN&gt; incomplete cont cont change &lt;breathingOUT&gt; &lt;breathingIN&gt; coll_question &lt;smack&gt;</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</si>
  <si>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</si>
  <si>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</si>
  <si>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</si>
  <si>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</si>
  <si>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</si>
  <si>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</si>
  <si>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</si>
  <si>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</si>
  <si>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</si>
  <si>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</si>
  <si>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</si>
  <si>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</si>
  <si>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</si>
  <si>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</si>
  <si>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</si>
  <si>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</si>
  <si>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</si>
  <si>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</si>
  <si>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</si>
  <si>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</si>
  <si>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</si>
  <si>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</si>
  <si>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</si>
  <si>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</si>
  <si>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</si>
  <si>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</si>
  <si>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</si>
  <si>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</si>
  <si>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</si>
  <si>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</si>
  <si>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</si>
  <si>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</si>
  <si>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</si>
  <si>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</si>
  <si>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</si>
  <si>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</si>
  <si>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</si>
  <si>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</si>
  <si>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</si>
  <si>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</si>
  <si>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</si>
  <si>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</si>
  <si>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</si>
  <si>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</si>
  <si>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</si>
  <si>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</si>
  <si>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</si>
  <si>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</si>
  <si>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</si>
  <si>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</si>
  <si>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</si>
  <si>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</si>
  <si>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</si>
  <si>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</si>
  <si>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</si>
  <si>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</si>
  <si>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</si>
  <si>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</si>
  <si>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</si>
  <si>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</si>
  <si>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</si>
  <si>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</si>
  <si>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</si>
  <si>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</si>
  <si>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</si>
  <si>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</si>
  <si>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</si>
  <si>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</si>
  <si>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</si>
  <si>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</si>
  <si>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</si>
  <si>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</si>
  <si>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</si>
  <si>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</si>
  <si>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</si>
  <si>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</si>
  <si>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</si>
  <si>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</si>
  <si>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</si>
  <si>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</si>
  <si>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</si>
  <si>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</si>
  <si>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</si>
  <si>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</si>
  <si>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</si>
  <si>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</si>
  <si>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</si>
  <si>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</si>
  <si>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</si>
  <si>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</si>
  <si>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</si>
  <si>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</si>
  <si>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</si>
  <si>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</si>
  <si>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</si>
  <si>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</si>
  <si>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</si>
  <si>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</si>
  <si>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</si>
  <si>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</si>
  <si>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</si>
  <si>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</si>
  <si>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</si>
  <si>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</si>
  <si>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</si>
  <si>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</si>
  <si>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</si>
  <si>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</si>
  <si>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</si>
  <si>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</si>
  <si>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</si>
  <si>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</si>
  <si>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</si>
  <si>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</si>
  <si>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</si>
  <si>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</si>
  <si>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</si>
  <si>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</si>
  <si>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</si>
  <si>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</si>
  <si>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</si>
  <si>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</si>
  <si>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</si>
  <si>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</si>
  <si>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</si>
  <si>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</si>
  <si>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</si>
  <si>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</si>
  <si>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</si>
  <si>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</si>
  <si>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</si>
  <si>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</si>
  <si>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</si>
  <si>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</si>
  <si>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</si>
  <si>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</si>
  <si>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</si>
  <si>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</si>
  <si>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</si>
  <si>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</si>
  <si>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</si>
  <si>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</si>
  <si>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</si>
  <si>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</si>
  <si>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</si>
  <si>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</si>
  <si>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</si>
  <si>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</si>
  <si>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</si>
  <si>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</si>
  <si>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</si>
  <si>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</si>
  <si>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</si>
  <si>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</si>
  <si>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</si>
  <si>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</si>
  <si>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</si>
  <si>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</si>
  <si>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</si>
  <si>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</si>
  <si>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</si>
  <si>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</si>
  <si>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</si>
  <si>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</si>
  <si>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</si>
  <si>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</si>
  <si>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</si>
  <si>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</si>
  <si>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</si>
  <si>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</si>
  <si>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 xml:space="preserve"> hrt hold hold &lt;breathingIN&gt; change_hold &lt;smack&gt; hrt hrt &lt;breathingOUT&gt; &lt;breathingIN&gt; hold incomplete &lt;breathingIN&gt; hold</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</si>
  <si>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</si>
  <si>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</si>
  <si>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 xml:space="preserve"> change &lt;breathingIN&gt; &lt;breathingIN&gt; hold_part disruption disruption disruption hes cont cont cont hold hold hold part hold change &lt;breathingIN&gt;</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</si>
  <si>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</si>
  <si>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</si>
  <si>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 xml:space="preserve"> cont &lt;breathingOUT&gt; hold incomplete hold hold &lt;breathingIN&gt; hold hold disruption hes &lt;breathingOUT&gt; hes hold hold hold</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</si>
  <si>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</si>
  <si>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</si>
  <si>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 xml:space="preserve"> change_question &lt;breathingIN&gt; hold disruption disruption incomplete hold disruption hes &lt;breathingIN&gt;&lt;smack&gt;&lt;breathingIN&gt; cont cont cont hold disruption &lt;breathingIN&gt;</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</si>
  <si>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</si>
  <si>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</si>
  <si>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 xml:space="preserve"> cont cont hold disruption &lt;breathingIN&gt; &lt;smack&gt; hes &lt;breathingOUT&gt; hes cont hold &lt;breathingOUT&gt; hold</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</si>
  <si>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</si>
  <si>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</si>
  <si>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</si>
  <si>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</si>
  <si>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</si>
  <si>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</si>
  <si>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</si>
  <si>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</si>
  <si>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</si>
  <si>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</si>
  <si>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</si>
  <si>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</si>
  <si>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</si>
  <si>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</si>
  <si>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</si>
  <si>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</si>
  <si>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</si>
  <si>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</si>
  <si>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</si>
  <si>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</si>
  <si>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</si>
  <si>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</si>
  <si>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</si>
  <si>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</si>
  <si>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</si>
  <si>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</si>
  <si>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</si>
  <si>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</si>
  <si>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</si>
  <si>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</si>
  <si>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</si>
  <si>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</si>
  <si>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</si>
  <si>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</si>
  <si>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</si>
  <si>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</si>
  <si>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</si>
  <si>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</si>
  <si>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</si>
  <si>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</si>
  <si>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</si>
  <si>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</si>
  <si>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</si>
  <si>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</si>
  <si>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</si>
  <si>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</si>
  <si>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</si>
  <si>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</si>
  <si>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</si>
  <si>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</si>
  <si>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</si>
  <si>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</si>
  <si>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</si>
  <si>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</si>
  <si>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</si>
  <si>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</si>
  <si>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</si>
  <si>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</si>
  <si>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</si>
  <si>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</si>
  <si>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</si>
  <si>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</si>
  <si>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</si>
  <si>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</si>
  <si>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</si>
  <si>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</si>
  <si>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</si>
  <si>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</si>
  <si>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</si>
  <si>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</si>
  <si>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 xml:space="preserve"> hold change &lt;breathingIN&gt; hes incomplete hold cont change &lt;breathingIN&gt; &lt;breathingIN&gt;</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</si>
  <si>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</si>
  <si>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</si>
  <si>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</si>
  <si>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</si>
  <si>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</si>
  <si>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</si>
  <si>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</si>
  <si>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</si>
  <si>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</si>
  <si>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</si>
  <si>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</si>
  <si>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</si>
  <si>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</si>
  <si>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</si>
  <si>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</si>
  <si>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</si>
  <si>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</si>
  <si>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</si>
  <si>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</si>
  <si>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</si>
  <si>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</si>
  <si>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</si>
  <si>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</si>
  <si>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</si>
  <si>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</si>
  <si>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</si>
  <si>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</si>
  <si>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</si>
  <si>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</si>
  <si>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</si>
  <si>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</si>
  <si>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 xml:space="preserve"> &lt;breathingIN&gt; &lt;laughter&gt; &lt;breathingIN&gt; question &lt;laughter&gt; &lt;breathingIN&gt; disruption &lt;breathingOUT&gt; &lt;noise&gt; cont_question question incomplete hrt incomplete part cont hold</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</si>
  <si>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</si>
  <si>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</si>
  <si>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 xml:space="preserve"> hrt breathingIN&gt; part hold q-part breathingIN&gt; hold hold question &lt;breathingIN&gt; cont_question incomplete_question question</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</si>
  <si>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</si>
  <si>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</si>
  <si>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 xml:space="preserve"> hrt hrt &lt;breathingOUT&gt; &lt;laugther&gt; &lt;breathingIN&gt; &lt;laughter&gt; &lt;breathingIN&gt; &lt;breathingIN&gt; question q-part hold_question incomplete &lt;breathingIN&gt; hrt</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</si>
  <si>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</si>
  <si>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</si>
  <si>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</si>
  <si>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</si>
  <si>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</si>
  <si>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</si>
  <si>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</si>
  <si>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</si>
  <si>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</si>
  <si>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</si>
  <si>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</si>
  <si>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</si>
  <si>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</si>
  <si>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</si>
  <si>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</si>
  <si>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</si>
  <si>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</si>
  <si>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</si>
  <si>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</si>
  <si>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</si>
  <si>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</si>
  <si>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</si>
  <si>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</si>
  <si>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</si>
  <si>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</si>
  <si>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</si>
  <si>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</si>
  <si>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</si>
  <si>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</si>
  <si>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</si>
  <si>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</si>
  <si>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</si>
  <si>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</si>
  <si>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</si>
  <si>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</si>
  <si>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</si>
  <si>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</si>
  <si>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</si>
  <si>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</si>
  <si>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</si>
  <si>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</si>
  <si>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</si>
  <si>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</si>
  <si>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</si>
  <si>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</si>
  <si>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</si>
  <si>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</si>
  <si>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</si>
  <si>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</si>
  <si>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</si>
  <si>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</si>
  <si>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</si>
  <si>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</si>
  <si>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</si>
  <si>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</si>
  <si>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</si>
  <si>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</si>
  <si>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</si>
  <si>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</si>
  <si>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</si>
  <si>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</si>
  <si>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</si>
  <si>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</si>
  <si>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</si>
  <si>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</si>
  <si>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</si>
  <si>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</si>
  <si>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</si>
  <si>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</si>
  <si>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</si>
  <si>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</si>
  <si>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</si>
  <si>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</si>
  <si>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</si>
  <si>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</si>
  <si>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</si>
  <si>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</si>
  <si>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</si>
  <si>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</si>
  <si>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</si>
  <si>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</si>
  <si>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</si>
  <si>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</si>
  <si>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</si>
  <si>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</si>
  <si>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</si>
  <si>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</si>
  <si>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</si>
  <si>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</si>
  <si>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</si>
  <si>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</si>
  <si>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</si>
  <si>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</si>
  <si>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</si>
  <si>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</si>
  <si>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</si>
  <si>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</si>
  <si>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</si>
  <si>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</si>
  <si>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</si>
  <si>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</si>
  <si>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</si>
  <si>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</si>
  <si>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</si>
  <si>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</si>
  <si>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</si>
  <si>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</si>
  <si>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</si>
  <si>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</si>
  <si>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</si>
  <si>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</si>
  <si>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</si>
  <si>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</si>
  <si>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</si>
  <si>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</si>
  <si>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</si>
  <si>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</si>
  <si>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</si>
  <si>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</si>
  <si>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</si>
  <si>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</si>
  <si>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</si>
  <si>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</si>
  <si>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</si>
  <si>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</si>
  <si>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</si>
  <si>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</si>
  <si>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</si>
  <si>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</si>
  <si>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</si>
  <si>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</si>
  <si>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</si>
  <si>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</si>
  <si>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</si>
  <si>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</si>
  <si>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</si>
  <si>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</si>
  <si>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</si>
  <si>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</si>
  <si>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</si>
  <si>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</si>
  <si>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</si>
  <si>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</si>
  <si>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</si>
  <si>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</si>
  <si>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</si>
  <si>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</si>
  <si>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</si>
  <si>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</si>
  <si>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</si>
  <si>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</si>
  <si>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</si>
  <si>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</si>
  <si>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</si>
  <si>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</si>
  <si>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</si>
  <si>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</si>
  <si>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</si>
  <si>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</si>
  <si>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</si>
  <si>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</si>
  <si>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</si>
  <si>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</si>
  <si>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</si>
  <si>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</si>
  <si>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</si>
  <si>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</si>
  <si>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</si>
  <si>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</si>
  <si>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</si>
  <si>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</si>
  <si>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</si>
  <si>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</si>
  <si>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</si>
  <si>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</si>
  <si>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</si>
  <si>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</si>
  <si>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</si>
  <si>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</si>
  <si>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</si>
  <si>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</si>
  <si>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</si>
  <si>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</si>
  <si>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</si>
  <si>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</si>
  <si>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</si>
  <si>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</si>
  <si>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</si>
  <si>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</si>
  <si>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</si>
  <si>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</si>
  <si>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</si>
  <si>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</si>
  <si>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</si>
  <si>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</si>
  <si>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</si>
  <si>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</si>
  <si>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</si>
  <si>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</si>
  <si>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</si>
  <si>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</si>
  <si>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</si>
  <si>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</si>
  <si>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</si>
  <si>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</si>
  <si>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</si>
  <si>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</si>
  <si>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</si>
  <si>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</si>
  <si>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</si>
  <si>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</si>
  <si>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</si>
  <si>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</si>
  <si>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</si>
  <si>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</si>
  <si>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</si>
  <si>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</si>
  <si>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</si>
  <si>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</si>
  <si>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</si>
  <si>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</si>
  <si>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</si>
  <si>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</si>
  <si>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</si>
  <si>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</si>
  <si>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</si>
  <si>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</si>
  <si>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</si>
  <si>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</si>
  <si>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</si>
  <si>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</si>
  <si>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</si>
  <si>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</si>
  <si>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</si>
  <si>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</si>
  <si>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</si>
  <si>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</si>
  <si>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</si>
  <si>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</si>
  <si>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</si>
  <si>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</si>
  <si>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</si>
  <si>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</si>
  <si>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</si>
  <si>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</si>
  <si>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</si>
  <si>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</si>
  <si>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</si>
  <si>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</si>
  <si>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</si>
  <si>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</si>
  <si>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</si>
  <si>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</si>
  <si>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</si>
  <si>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</si>
  <si>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</si>
  <si>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</si>
  <si>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</si>
  <si>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</si>
  <si>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</si>
  <si>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</si>
  <si>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</si>
  <si>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</si>
  <si>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</si>
  <si>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</si>
  <si>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</si>
  <si>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</si>
  <si>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</si>
  <si>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</si>
  <si>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</si>
  <si>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</si>
  <si>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</si>
  <si>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</si>
  <si>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 xml:space="preserve"> cont part hold &lt;breathingIN&gt; hold &lt;breathingIN&gt; &lt;noise&gt;</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</si>
  <si>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</si>
  <si>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</si>
  <si>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</si>
  <si>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</si>
  <si>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</si>
  <si>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</si>
  <si>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</si>
  <si>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</si>
  <si>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</si>
  <si>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</si>
  <si>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</si>
  <si>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</si>
  <si>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</si>
  <si>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</si>
  <si>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</si>
  <si>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</si>
  <si>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</si>
  <si>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</si>
  <si>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 xml:space="preserve"> disruption change_cont change &lt;smack&gt;</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</si>
  <si>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</si>
  <si>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</si>
  <si>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</si>
  <si>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</si>
  <si>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</si>
  <si>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</si>
  <si>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</si>
  <si>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 xml:space="preserve"> &lt;breathingOUT&gt;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</si>
  <si>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</si>
  <si>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</si>
  <si>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</si>
  <si>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</si>
  <si>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</si>
  <si>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</si>
  <si>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</si>
  <si>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</si>
  <si>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</si>
  <si>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</si>
  <si>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</si>
  <si>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</si>
  <si>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</si>
  <si>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</si>
  <si>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</si>
  <si>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</si>
  <si>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</si>
  <si>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</si>
  <si>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 xml:space="preserve"> &lt;breathingOUT&gt; hold &lt;breathingOUT&gt; hold change_hold</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</si>
  <si>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</si>
  <si>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</si>
  <si>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</si>
  <si>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</si>
  <si>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</si>
  <si>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 xml:space="preserve"> hrt</t>
  </si>
  <si>
    <t>file:///C:/TI_projekt_daten/Audio/005M_äh_002.wav</t>
  </si>
  <si>
    <t>[ hm ] { &lt;breathingOUT&gt; } [ ok ] { &lt;breathingOUT&gt; } { &lt;smack&gt; } { &lt;breathingIN&gt; } &lt;smack&gt;  aber äh &lt;&amp;b&gt;versch kommst du dort dann relativ leicht mit oder ist das relativ [ ist das ] interessant schon</t>
  </si>
  <si>
    <t xml:space="preserve"> hrt &lt;breathingOUT&gt; hrt &lt;breathingOUT&gt; &lt;smack&gt; &lt;breathingIN&gt; &lt;smack&gt; hold_question disruption_question question hrt cont_question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</si>
  <si>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</si>
  <si>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</si>
  <si>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</si>
  <si>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</si>
  <si>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</si>
  <si>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</si>
  <si>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</si>
  <si>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</si>
  <si>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</si>
  <si>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</si>
  <si>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</si>
  <si>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</si>
  <si>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</si>
  <si>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</si>
  <si>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</si>
  <si>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</si>
  <si>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</si>
  <si>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</si>
  <si>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</si>
  <si>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</si>
  <si>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</si>
  <si>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</si>
  <si>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</si>
  <si>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</si>
  <si>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</si>
  <si>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</si>
  <si>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</si>
  <si>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</si>
  <si>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</si>
  <si>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</si>
  <si>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</si>
  <si>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</si>
  <si>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</si>
  <si>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</si>
  <si>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</si>
  <si>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</si>
  <si>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</si>
  <si>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</si>
  <si>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</si>
  <si>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</si>
  <si>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</si>
  <si>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</si>
  <si>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</si>
  <si>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</si>
  <si>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</si>
  <si>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</si>
  <si>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 xml:space="preserve"> cont hold q-part &lt;breathingIN&gt;&lt;smack&gt;&lt;breathingIN&gt; disruption hold &lt;noise&gt; &lt;smack&gt; cont disruption_incomplete</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</si>
  <si>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</si>
  <si>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</si>
  <si>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 xml:space="preserve"> hold &lt;laughter&gt; &lt;breathingIN&gt;&lt;smack&gt;&lt;breathingIN&gt; hes hold &lt;noise&gt; &lt;breathingIN&gt; &lt;smack&gt; disruption &lt;breathingOUT&gt; part@ part part_hold@ hold q-part &lt;smack&gt;</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</si>
  <si>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</si>
  <si>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</si>
  <si>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</si>
  <si>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</si>
  <si>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</si>
  <si>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</si>
  <si>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</si>
  <si>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</si>
  <si>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</si>
  <si>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</si>
  <si>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</si>
  <si>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</si>
  <si>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</si>
  <si>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</si>
  <si>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</si>
  <si>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</si>
  <si>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</si>
  <si>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</si>
  <si>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</si>
  <si>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</si>
  <si>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</si>
  <si>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</si>
  <si>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</si>
  <si>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</si>
  <si>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</si>
  <si>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</si>
  <si>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</si>
  <si>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 xml:space="preserve"> change_hold</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</si>
  <si>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</si>
  <si>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</si>
  <si>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</si>
  <si>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</si>
  <si>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</si>
  <si>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</si>
  <si>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</si>
  <si>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</si>
  <si>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</si>
  <si>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</si>
  <si>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</si>
  <si>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</si>
  <si>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</si>
  <si>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</si>
  <si>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</si>
  <si>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</si>
  <si>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</si>
  <si>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</si>
  <si>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</si>
  <si>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</si>
  <si>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</si>
  <si>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</si>
  <si>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</si>
  <si>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</si>
  <si>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</si>
  <si>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</si>
  <si>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</si>
  <si>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</si>
  <si>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</si>
  <si>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</si>
  <si>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</si>
  <si>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</si>
  <si>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</si>
  <si>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</si>
  <si>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</si>
  <si>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</si>
  <si>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</si>
  <si>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</si>
  <si>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</si>
  <si>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</si>
  <si>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</si>
  <si>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</si>
  <si>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</si>
  <si>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</si>
  <si>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</si>
  <si>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</si>
  <si>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</si>
  <si>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</si>
  <si>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</si>
  <si>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</si>
  <si>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</si>
  <si>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</si>
  <si>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</si>
  <si>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</si>
  <si>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</si>
  <si>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</si>
  <si>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</si>
  <si>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</si>
  <si>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</si>
  <si>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</si>
  <si>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</si>
  <si>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</si>
  <si>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</si>
  <si>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</si>
  <si>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</si>
  <si>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</si>
  <si>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</si>
  <si>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</si>
  <si>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</si>
  <si>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</si>
  <si>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</si>
  <si>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</si>
  <si>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</si>
  <si>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</si>
  <si>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</si>
  <si>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 xml:space="preserve"> &lt;breathingIN&gt; hrt hrt &lt;smack&gt; &lt;noise&gt; &lt;smack&gt; part cont change</t>
  </si>
  <si>
    <t>file:///C:/TI_projekt_daten/Audio/027F_ahm_007.wav</t>
  </si>
  <si>
    <t>dann sind sie in den Garten geflogen habe [ die Herzen ] aus den Salaten [ rausgepickt ] [ und ]  haben sich halt ahm &lt;smack&gt; mit ihren Stoffwechselendprodukten [ verewigt ] überall [ das war dann ]</t>
  </si>
  <si>
    <t xml:space="preserve"> &lt;smack&gt; hrt &lt;breathingOUT&gt; hrt hrt</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</si>
  <si>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</si>
  <si>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</si>
  <si>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</si>
  <si>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</si>
  <si>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</si>
  <si>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</si>
  <si>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</si>
  <si>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</si>
  <si>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</si>
  <si>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 xml:space="preserve"> cont</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</si>
  <si>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</si>
  <si>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</si>
  <si>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</si>
  <si>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</si>
  <si>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</si>
  <si>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</si>
  <si>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</si>
  <si>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</si>
  <si>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</si>
  <si>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</si>
  <si>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</si>
  <si>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</si>
  <si>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</si>
  <si>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</si>
  <si>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</si>
  <si>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</si>
  <si>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</si>
  <si>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</si>
  <si>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</si>
  <si>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</si>
  <si>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</si>
  <si>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</si>
  <si>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</si>
  <si>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</si>
  <si>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</si>
  <si>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</si>
  <si>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 xml:space="preserve"> change_hold &lt;breathingIN&gt; incomplete hold hold change_hes &lt;smack&gt; &lt;breathingIN&gt; change &lt;noise&gt;</t>
  </si>
  <si>
    <t>file:///C:/TI_projekt_daten/Audio/028F_ähm_008.wav</t>
  </si>
  <si>
    <t>nein [ nicht die Bank ähm ] &lt;#noise&gt; &lt;smack&gt; { &lt;breathingIN&gt; } #S#  es hat [ geheißen dass ähm ] &lt;breathingOUT&gt; &lt;breathingIN&gt; &lt;noise&gt; &lt;noise&gt; &lt;#noise&gt; [ ähm ] &lt;breathingOUT&gt;</t>
  </si>
  <si>
    <t xml:space="preserve"> hold hold change_hes &lt;smack&gt; &lt;breathingIN&gt; change &lt;noise&gt;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</si>
  <si>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</si>
  <si>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</si>
  <si>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 xml:space="preserve"> change &lt;noise&gt;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</si>
  <si>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</si>
  <si>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</si>
  <si>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 xml:space="preserve"> hrt &lt;breathingOUT&gt; &lt;breathingIN&gt;&lt;smack&gt;&lt;breathingIN&gt; part hold &lt;breathingOUT&gt; &lt;smack&gt; hold &lt;breathingOUT&gt;</t>
  </si>
  <si>
    <t>file:///C:/TI_projekt_daten/Audio/028F_ähm_011.wav</t>
  </si>
  <si>
    <t>{ &lt;breathingIN&gt; } { &lt;smack&gt; } da [ haben wir aber einige am Wegener &lt;*ENG&gt;center ] { &lt;breathingIN&gt; }  [ ähm ] { &lt;breathingOUT&gt; } &lt;laughter&gt; &lt;smack&gt; { &lt;breathingIN&gt; }</t>
  </si>
  <si>
    <t xml:space="preserve"> &lt;breathingIN&gt; &lt;smack&gt; cont hold &lt;breathingIN&gt; change &lt;breathingOUT&gt; &lt;laughter&gt; &lt;smack&gt; &lt;breathingIN&gt; hrt</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</si>
  <si>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</si>
  <si>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</si>
  <si>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</si>
  <si>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</si>
  <si>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</si>
  <si>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</si>
  <si>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</si>
  <si>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</si>
  <si>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</si>
  <si>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</si>
  <si>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</si>
  <si>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</si>
  <si>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</si>
  <si>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</si>
  <si>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</si>
  <si>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</si>
  <si>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</si>
  <si>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</si>
  <si>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 xml:space="preserve"> &lt;smack&gt; &lt;breathingIN&gt; part hold hold hold &lt;breathingOUT&gt; &lt;noise&gt; &lt;breathingIN&gt; &lt;noise&gt; hes &lt;noise&gt; hold hold hold</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</si>
  <si>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</si>
  <si>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</si>
  <si>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</si>
  <si>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</si>
  <si>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</si>
  <si>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 xml:space="preserve"> &lt;breathingIN&gt; &lt;breathingOUT&gt;</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</si>
  <si>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</si>
  <si>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</si>
  <si>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</si>
  <si>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</si>
  <si>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</si>
  <si>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</si>
  <si>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</si>
  <si>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</si>
  <si>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</si>
  <si>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</si>
  <si>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</si>
  <si>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</si>
  <si>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 xml:space="preserve"> &lt;smack&gt; &lt;breathingIN&gt; hes &lt;noise&gt; cont &lt;smack&gt; hold &lt;smack&gt; question question</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</si>
  <si>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</si>
  <si>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</si>
  <si>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</si>
  <si>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</si>
  <si>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</si>
  <si>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</si>
  <si>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</si>
  <si>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</si>
  <si>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</si>
  <si>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</si>
  <si>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</si>
  <si>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</si>
  <si>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</si>
  <si>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</si>
  <si>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</si>
  <si>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</si>
  <si>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</si>
  <si>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 xml:space="preserve"> hold hold &lt;laughter&gt;</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</si>
  <si>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</si>
  <si>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</si>
  <si>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</si>
  <si>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</si>
  <si>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</si>
  <si>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</si>
  <si>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</si>
  <si>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</si>
  <si>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</si>
  <si>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</si>
  <si>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</si>
  <si>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</si>
  <si>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</si>
  <si>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</si>
  <si>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</si>
  <si>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</si>
  <si>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</si>
  <si>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</si>
  <si>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</si>
  <si>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</si>
  <si>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</si>
  <si>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</si>
  <si>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</si>
  <si>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</si>
  <si>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</si>
  <si>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</si>
  <si>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</si>
  <si>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</si>
  <si>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</si>
  <si>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</si>
  <si>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</si>
  <si>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</si>
  <si>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</si>
  <si>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</si>
  <si>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</si>
  <si>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</si>
  <si>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</si>
  <si>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</si>
  <si>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</si>
  <si>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</si>
  <si>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</si>
  <si>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</si>
  <si>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</si>
  <si>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</si>
  <si>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</si>
  <si>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</si>
  <si>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</si>
  <si>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</si>
  <si>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</si>
  <si>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</si>
  <si>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</si>
  <si>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</si>
  <si>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</si>
  <si>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</si>
  <si>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</si>
  <si>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</si>
  <si>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</si>
  <si>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</si>
  <si>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</si>
  <si>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</si>
  <si>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</si>
  <si>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</si>
  <si>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</si>
  <si>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</si>
  <si>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</si>
  <si>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</si>
  <si>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</si>
  <si>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</si>
  <si>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</si>
  <si>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</si>
  <si>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</si>
  <si>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</si>
  <si>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</si>
  <si>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</si>
  <si>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</si>
  <si>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</si>
  <si>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</si>
  <si>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</si>
  <si>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</si>
  <si>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</si>
  <si>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</si>
  <si>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</si>
  <si>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</si>
  <si>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</si>
  <si>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</si>
  <si>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</si>
  <si>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</si>
  <si>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</si>
  <si>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</si>
  <si>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</si>
  <si>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</si>
  <si>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</si>
  <si>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</si>
  <si>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</si>
  <si>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</si>
  <si>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 xml:space="preserve"> cont hold_cont@ hold hold cont hold hold</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</si>
  <si>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</si>
  <si>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</si>
  <si>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</si>
  <si>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</si>
  <si>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</si>
  <si>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</si>
  <si>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</si>
  <si>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</si>
  <si>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</si>
  <si>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</si>
  <si>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</si>
  <si>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</si>
  <si>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</si>
  <si>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</si>
  <si>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</si>
  <si>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</si>
  <si>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</si>
  <si>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</si>
  <si>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 xml:space="preserve"> hold hold cont hold hold hold hold</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</si>
  <si>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</si>
  <si>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</si>
  <si>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 xml:space="preserve"> disruption cont disruption part hold part part cont hold hold</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</si>
  <si>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</si>
  <si>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</si>
  <si>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</si>
  <si>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</si>
  <si>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</si>
  <si>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</si>
  <si>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</si>
  <si>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</si>
  <si>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</si>
  <si>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</si>
  <si>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</si>
  <si>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</si>
  <si>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</si>
  <si>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</si>
  <si>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 xml:space="preserve"> disruption &lt;breathingIN&gt; cont &lt;breathingOUT&gt; &lt;noise&gt; &lt;laughter&gt; hold &lt;noise&gt; &lt;noise&gt;</t>
  </si>
  <si>
    <t>file:///C:/TI_projekt_daten/Audio/012M_äh_002.wav</t>
  </si>
  <si>
    <t>Trennwand quasi durchbringen &lt;breathingOUT&gt; &lt;breathingIN&gt; und dann &lt;noise&gt; ist aber da  äh ist ein Ausschnitt nicht wo die Leute äh an der Bar halt durch müssen { &lt;breathingIN&gt; } [ und ]</t>
  </si>
  <si>
    <t xml:space="preserve"> cont cont hold &lt;breathingOUT&gt; &lt;breathingIN&gt; disruption cont q-part hold &lt;breathingIN&gt; cont cont</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</si>
  <si>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</si>
  <si>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</si>
  <si>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 xml:space="preserve"> cont cont hold &lt;breathingOUT&gt; &lt;breathingIN&gt; disruption cont q-part hold &lt;breathingIN&gt; cont cont hold cont change</t>
  </si>
  <si>
    <t>file:///C:/TI_projekt_daten/Audio/012M_äh_004.wav</t>
  </si>
  <si>
    <t>[ weiß nicht ] &lt;smack&gt; [ hm ] { &lt;breathingOUT&gt; } { &lt;breathingIN&gt; }  [ nein ist bis äh ] äh gewisse [ Quadratmeter ] { &lt;breathingIN&gt; } [ aber ] es sind [ glaubi recht wenig ]</t>
  </si>
  <si>
    <t xml:space="preserve"> hrt &lt;smack&gt; hrt &lt;breathingOUT&gt; &lt;breathingIN&gt; part change &lt;breathingIN&gt; hold &lt;breathingOUT&gt;</t>
  </si>
  <si>
    <t>file:///C:/TI_projekt_daten/Audio/012M_äh_005.wav</t>
  </si>
  <si>
    <t>{ &lt;breathingOUT&gt; } { &lt;breathingIN&gt; } [ nein ist bis äh ]  äh gewisse [ Quadratmeter ] { &lt;breathingIN&gt; } [ aber ] es sind [ glaubi recht wenig ] &lt;breathingOUT&gt; &lt;#noise&gt;</t>
  </si>
  <si>
    <t xml:space="preserve"> &lt;breathingOUT&gt; &lt;breathingIN&gt; part change &lt;breathingIN&gt; hold &lt;breathingOUT&gt; hold</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</si>
  <si>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</si>
  <si>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</si>
  <si>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</si>
  <si>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</si>
  <si>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</si>
  <si>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</si>
  <si>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</si>
  <si>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</si>
  <si>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</si>
  <si>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</si>
  <si>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</si>
  <si>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</si>
  <si>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</si>
  <si>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</si>
  <si>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</si>
  <si>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</si>
  <si>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</si>
  <si>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</si>
  <si>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</si>
  <si>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</si>
  <si>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</si>
  <si>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</si>
  <si>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</si>
  <si>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</si>
  <si>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</si>
  <si>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</si>
  <si>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</si>
  <si>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</si>
  <si>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</si>
  <si>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</si>
  <si>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</si>
  <si>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</si>
  <si>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</si>
  <si>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</si>
  <si>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</si>
  <si>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</si>
  <si>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</si>
  <si>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</si>
  <si>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</si>
  <si>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</si>
  <si>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</si>
  <si>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</si>
  <si>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</si>
  <si>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</si>
  <si>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</si>
  <si>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</si>
  <si>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</si>
  <si>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</si>
  <si>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</si>
  <si>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</si>
  <si>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</si>
  <si>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</si>
  <si>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</si>
  <si>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</si>
  <si>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</si>
  <si>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</si>
  <si>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</si>
  <si>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</si>
  <si>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</si>
  <si>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</si>
  <si>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</si>
  <si>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</si>
  <si>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</si>
  <si>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</si>
  <si>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</si>
  <si>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</si>
  <si>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</si>
  <si>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</si>
  <si>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</si>
  <si>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</si>
  <si>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</si>
  <si>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</si>
  <si>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</si>
  <si>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</si>
  <si>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</si>
  <si>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</si>
  <si>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</si>
  <si>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</si>
  <si>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</si>
  <si>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</si>
  <si>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</si>
  <si>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</si>
  <si>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</si>
  <si>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</si>
  <si>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</si>
  <si>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</si>
  <si>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</si>
  <si>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</si>
  <si>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</si>
  <si>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</si>
  <si>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</si>
  <si>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</si>
  <si>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</si>
  <si>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</si>
  <si>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</si>
  <si>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</si>
  <si>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</si>
  <si>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</si>
  <si>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</si>
  <si>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</si>
  <si>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</si>
  <si>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</si>
  <si>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</si>
  <si>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</si>
  <si>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</si>
  <si>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</si>
  <si>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</si>
  <si>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</si>
  <si>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</si>
  <si>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</si>
  <si>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</si>
  <si>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</si>
  <si>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</si>
  <si>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</si>
  <si>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</si>
  <si>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</si>
  <si>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</si>
  <si>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</si>
  <si>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</si>
  <si>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</si>
  <si>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</si>
  <si>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</si>
  <si>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</si>
  <si>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</si>
  <si>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</si>
  <si>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</si>
  <si>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</si>
  <si>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</si>
  <si>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</si>
  <si>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</si>
  <si>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</si>
  <si>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</si>
  <si>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</si>
  <si>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</si>
  <si>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</si>
  <si>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</si>
  <si>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</si>
  <si>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</si>
  <si>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</si>
  <si>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</si>
  <si>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</si>
  <si>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</si>
  <si>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</si>
  <si>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</si>
  <si>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</si>
  <si>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</si>
  <si>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</si>
  <si>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</si>
  <si>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</si>
  <si>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</si>
  <si>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</si>
  <si>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</si>
  <si>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</si>
  <si>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</si>
  <si>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</si>
  <si>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</si>
  <si>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</si>
  <si>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</si>
  <si>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</si>
  <si>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</si>
  <si>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</si>
  <si>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</si>
  <si>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</si>
  <si>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</si>
  <si>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</si>
  <si>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</si>
  <si>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</si>
  <si>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</si>
  <si>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</si>
  <si>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</si>
  <si>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</si>
  <si>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</si>
  <si>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</si>
  <si>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</si>
  <si>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</si>
  <si>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</si>
  <si>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</si>
  <si>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</si>
  <si>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</si>
  <si>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</si>
  <si>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</si>
  <si>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</si>
  <si>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</si>
  <si>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</si>
  <si>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</si>
  <si>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</si>
  <si>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</si>
  <si>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</si>
  <si>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</si>
  <si>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</si>
  <si>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</si>
  <si>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</si>
  <si>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</si>
  <si>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</si>
  <si>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</si>
  <si>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</si>
  <si>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</si>
  <si>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</si>
  <si>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</si>
  <si>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</si>
  <si>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</si>
  <si>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</si>
  <si>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</si>
  <si>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</si>
  <si>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</si>
  <si>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</si>
  <si>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</si>
  <si>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</si>
  <si>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</si>
  <si>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</si>
  <si>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</si>
  <si>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</si>
  <si>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</si>
  <si>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</si>
  <si>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</si>
  <si>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</si>
  <si>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</si>
  <si>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</si>
  <si>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</si>
  <si>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</si>
  <si>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</si>
  <si>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</si>
  <si>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</si>
  <si>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</si>
  <si>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</si>
  <si>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</si>
  <si>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</si>
  <si>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</si>
  <si>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</si>
  <si>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</si>
  <si>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</si>
  <si>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</si>
  <si>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</si>
  <si>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</si>
  <si>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</si>
  <si>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</si>
  <si>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</si>
  <si>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</si>
  <si>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</si>
  <si>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</si>
  <si>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 xml:space="preserve"> hold &lt;breathingOUT&gt; change &lt;breathingIN&gt; hold &lt;breathingIN&gt; hes hold &lt;breathingOUT&gt; hold &lt;breathingOUT&gt; &lt;breathingIN&gt; hold &lt;noise&gt;</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</si>
  <si>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</si>
  <si>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</si>
  <si>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 xml:space="preserve"> hold hold &lt;breathingIN&gt; cont hold cont cont hold</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</si>
  <si>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</si>
  <si>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</si>
  <si>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</si>
  <si>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</si>
  <si>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</si>
  <si>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</si>
  <si>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</si>
  <si>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</si>
  <si>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 xml:space="preserve"> cont &lt;breathingOUT&gt; &lt;smack&gt; hold disruption hes hes &lt;noise&gt; part hold hold hold incomplete</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</si>
  <si>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</si>
  <si>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</si>
  <si>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 xml:space="preserve"> &lt;breathingIN&gt; hrt &lt;breathingIN&gt; hold &lt;breathingIN&gt; disruption &lt;breathingIN&gt; hes part hold &lt;breathingIN&gt; cont hold</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</si>
  <si>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</si>
  <si>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</si>
  <si>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 xml:space="preserve"> cont hold hold &lt;breathingIN&gt; cont hold</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</si>
  <si>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</si>
  <si>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</si>
  <si>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</si>
  <si>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</si>
  <si>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</si>
  <si>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</si>
  <si>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</si>
  <si>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</si>
  <si>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</si>
  <si>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</si>
  <si>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</si>
  <si>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</si>
  <si>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</si>
  <si>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 xml:space="preserve"> &lt;breathingIN&gt; hold &lt;breathingIN&gt; hold cont disruption &lt;breathingIN&gt;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</si>
  <si>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</si>
  <si>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</si>
  <si>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 xml:space="preserve"> hold cont disruption &lt;breathingIN&gt; hold hold hold &lt;breathingIN&gt; disruption hold hold</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</si>
  <si>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</si>
  <si>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</si>
  <si>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 xml:space="preserve"> hold hold disruption &lt;noise&gt; &lt;breathingIN&gt; hes &lt;breathingOUT&gt; &lt;breathingIN&gt; part hold &lt;breathingIN&gt;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</si>
  <si>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</si>
  <si>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</si>
  <si>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 xml:space="preserve"> hold hold hold incomplete &lt;breathingIN&gt; hrt &lt;breathingIN&gt; hold</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</si>
  <si>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</si>
  <si>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</si>
  <si>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 xml:space="preserve"> part hold &lt;breathingIN&gt; cont hold hold hold</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</si>
  <si>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</si>
  <si>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</si>
  <si>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 xml:space="preserve"> change &lt;breathingOUT&gt; &lt;breathingIN&gt;</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</si>
  <si>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</si>
  <si>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</si>
  <si>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</si>
  <si>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</si>
  <si>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</si>
  <si>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</si>
  <si>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</si>
  <si>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</si>
  <si>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</si>
  <si>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</si>
  <si>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</si>
  <si>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</si>
  <si>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</si>
  <si>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</si>
  <si>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</si>
  <si>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</si>
  <si>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</si>
  <si>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</si>
  <si>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</si>
  <si>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</si>
  <si>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</si>
  <si>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</si>
  <si>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</si>
  <si>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</si>
  <si>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</si>
  <si>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 xml:space="preserve"> hold hold &lt;breathingIN&gt; hold hold hold &lt;breathingIN&gt;&lt;smack&gt;&lt;breathingIN&gt; hold cont</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</si>
  <si>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</si>
  <si>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</si>
  <si>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</si>
  <si>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</si>
  <si>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</si>
  <si>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</si>
  <si>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</si>
  <si>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</si>
  <si>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</si>
  <si>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</si>
  <si>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</si>
  <si>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</si>
  <si>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</si>
  <si>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</si>
  <si>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</si>
  <si>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</si>
  <si>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</si>
  <si>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</si>
  <si>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</si>
  <si>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</si>
  <si>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</si>
  <si>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</si>
  <si>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</si>
  <si>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</si>
  <si>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</si>
  <si>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</si>
  <si>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</si>
  <si>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</si>
  <si>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</si>
  <si>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</si>
  <si>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</si>
  <si>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</si>
  <si>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</si>
  <si>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</si>
  <si>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</si>
  <si>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</si>
  <si>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</si>
  <si>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</si>
  <si>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</si>
  <si>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</si>
  <si>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 xml:space="preserve"> hold hold hold &lt;breathingIN&gt;&lt;smack&gt;&lt;breathingIN&gt; hold cont</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</si>
  <si>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</si>
  <si>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</si>
  <si>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</si>
  <si>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</si>
  <si>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</si>
  <si>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</si>
  <si>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no</t>
  </si>
  <si>
    <t>not enough speech</t>
  </si>
  <si>
    <t>yes</t>
  </si>
  <si>
    <t>back</t>
  </si>
  <si>
    <t>mid</t>
  </si>
  <si>
    <t>maybe</t>
  </si>
  <si>
    <t>need more</t>
  </si>
  <si>
    <t>answer</t>
  </si>
  <si>
    <t>short FP</t>
  </si>
  <si>
    <t>long pause</t>
  </si>
  <si>
    <t>long</t>
  </si>
  <si>
    <t>glued</t>
  </si>
  <si>
    <t>not a FP</t>
  </si>
  <si>
    <t>dialect</t>
  </si>
  <si>
    <t>short before</t>
  </si>
  <si>
    <t>rare word</t>
  </si>
  <si>
    <t>initial FP</t>
  </si>
  <si>
    <t>short after</t>
  </si>
  <si>
    <t>double FP</t>
  </si>
  <si>
    <t>spelling</t>
  </si>
  <si>
    <t>hard to understand</t>
  </si>
  <si>
    <t>intentional FP</t>
  </si>
  <si>
    <t>name</t>
  </si>
  <si>
    <t>short</t>
  </si>
  <si>
    <t>english</t>
  </si>
  <si>
    <t>double talk</t>
  </si>
  <si>
    <t>402, 403</t>
  </si>
  <si>
    <t>401, 403</t>
  </si>
  <si>
    <t>401, 402</t>
  </si>
  <si>
    <t>laughter</t>
  </si>
  <si>
    <t>und dann hab ich gelesen dass ahm die ah ich glaube jedes Jahr zwanzigtausend ahm Steine aus dem Weltraum auf die Erde fallen</t>
  </si>
  <si>
    <t>ich hab dir meine geniale ähm ähm oder hab ich schon erzählt?</t>
  </si>
  <si>
    <t>weil das Problem war hinten war ja ähm äh hinten war es ja äh zirka vier Zentimeter höher als vorne</t>
  </si>
  <si>
    <t>both</t>
  </si>
  <si>
    <t>Dis. type</t>
  </si>
  <si>
    <r>
      <t xml:space="preserve">dass er erstens wegen eben dem Infekt ein bisschen grantig ist, </t>
    </r>
    <r>
      <rPr>
        <sz val="11"/>
        <color rgb="FFFF0000"/>
        <rFont val="Calibri"/>
        <family val="2"/>
        <scheme val="minor"/>
      </rPr>
      <t>ähm</t>
    </r>
    <r>
      <rPr>
        <sz val="11"/>
        <color theme="1"/>
        <rFont val="Calibri"/>
        <family val="2"/>
        <scheme val="minor"/>
      </rPr>
      <t xml:space="preserve"> zweitens bin ich mir nicht ganz sicher</t>
    </r>
  </si>
  <si>
    <r>
      <t xml:space="preserve">sie möchten gern, dass ich mitkomme und </t>
    </r>
    <r>
      <rPr>
        <sz val="11"/>
        <color rgb="FFFF0000"/>
        <rFont val="Calibri"/>
        <family val="2"/>
        <scheme val="minor"/>
      </rPr>
      <t>äh</t>
    </r>
    <r>
      <rPr>
        <sz val="11"/>
        <color theme="1"/>
        <rFont val="Calibri"/>
        <family val="2"/>
        <scheme val="minor"/>
      </rPr>
      <t xml:space="preserve"> sie fahren zwei Wochen nach Ägypten</t>
    </r>
  </si>
  <si>
    <r>
      <t xml:space="preserve">und da sehe ich so von der Ferne </t>
    </r>
    <r>
      <rPr>
        <sz val="11"/>
        <color rgb="FFFF0000"/>
        <rFont val="Calibri"/>
        <family val="2"/>
        <scheme val="minor"/>
      </rPr>
      <t>äh</t>
    </r>
    <r>
      <rPr>
        <sz val="11"/>
        <color theme="1"/>
        <rFont val="Calibri"/>
        <family val="2"/>
        <scheme val="minor"/>
      </rPr>
      <t xml:space="preserve"> erste Stra okay also erste Straßenbahn fährt weg</t>
    </r>
  </si>
  <si>
    <t>x</t>
  </si>
  <si>
    <r>
      <t xml:space="preserve">dann komme ich näher und </t>
    </r>
    <r>
      <rPr>
        <sz val="11"/>
        <color rgb="FFFF0000"/>
        <rFont val="Calibri"/>
        <family val="2"/>
        <scheme val="minor"/>
      </rPr>
      <t>äh</t>
    </r>
    <r>
      <rPr>
        <sz val="11"/>
        <color theme="1"/>
        <rFont val="Calibri"/>
        <family val="2"/>
        <scheme val="minor"/>
      </rPr>
      <t xml:space="preserve"> eine Minute danach kommt die nächste fährt mir vor der Nase weg</t>
    </r>
  </si>
  <si>
    <r>
      <t xml:space="preserve">der eine Student wo du mir die Karten [ geborgt hast ] der hat </t>
    </r>
    <r>
      <rPr>
        <sz val="11"/>
        <color rgb="FFFF0000"/>
        <rFont val="Calibri"/>
        <family val="2"/>
        <scheme val="minor"/>
      </rPr>
      <t>ahm</t>
    </r>
    <r>
      <rPr>
        <sz val="11"/>
        <color theme="1"/>
        <rFont val="Calibri"/>
        <family val="2"/>
        <scheme val="minor"/>
      </rPr>
      <t xml:space="preserve"> zweisprachige Kinder untersucht</t>
    </r>
  </si>
  <si>
    <r>
      <t xml:space="preserve">es ist jetzt aber keine, </t>
    </r>
    <r>
      <rPr>
        <sz val="11"/>
        <color rgb="FFFF0000"/>
        <rFont val="Calibri"/>
        <family val="2"/>
        <scheme val="minor"/>
      </rPr>
      <t>ahm</t>
    </r>
    <r>
      <rPr>
        <sz val="11"/>
        <color theme="1"/>
        <rFont val="Calibri"/>
        <family val="2"/>
        <scheme val="minor"/>
      </rPr>
      <t xml:space="preserve"> Unterführung oder</t>
    </r>
  </si>
  <si>
    <r>
      <t xml:space="preserve">dann so ja heute stre </t>
    </r>
    <r>
      <rPr>
        <sz val="11"/>
        <color rgb="FFFF0000"/>
        <rFont val="Calibri"/>
        <family val="2"/>
        <scheme val="minor"/>
      </rPr>
      <t>äh</t>
    </r>
    <r>
      <rPr>
        <sz val="11"/>
        <color theme="1"/>
        <rFont val="Calibri"/>
        <family val="2"/>
        <scheme val="minor"/>
      </rPr>
      <t xml:space="preserve"> Schnee [ Chaos ] in Graz und nächste ist dann in zwölf Minuten gekommen</t>
    </r>
  </si>
  <si>
    <r>
      <t xml:space="preserve">das habe ich dir glaube ich eh schon erzählt mit </t>
    </r>
    <r>
      <rPr>
        <sz val="11"/>
        <color rgb="FFFF0000"/>
        <rFont val="Calibri"/>
        <family val="2"/>
        <scheme val="minor"/>
      </rPr>
      <t>ahm</t>
    </r>
    <r>
      <rPr>
        <sz val="11"/>
        <color theme="1"/>
        <rFont val="Calibri"/>
        <family val="2"/>
        <scheme val="minor"/>
      </rPr>
      <t xml:space="preserve"> ich glaube #sechs Kinder haben die</t>
    </r>
  </si>
  <si>
    <t>Anneliese, HELP!</t>
  </si>
  <si>
    <r>
      <t xml:space="preserve">ja genau </t>
    </r>
    <r>
      <rPr>
        <sz val="11"/>
        <color rgb="FFFF0000"/>
        <rFont val="Calibri"/>
        <family val="2"/>
        <scheme val="minor"/>
      </rPr>
      <t>äh</t>
    </r>
    <r>
      <rPr>
        <sz val="11"/>
        <color theme="1"/>
        <rFont val="Calibri"/>
        <family val="2"/>
        <scheme val="minor"/>
      </rPr>
      <t xml:space="preserve"> gültig bis da und dann</t>
    </r>
  </si>
  <si>
    <r>
      <t xml:space="preserve">also andere Besucher haben geschrieben dass </t>
    </r>
    <r>
      <rPr>
        <sz val="11"/>
        <color rgb="FFFF0000"/>
        <rFont val="Calibri"/>
        <family val="2"/>
        <scheme val="minor"/>
      </rPr>
      <t>äh</t>
    </r>
    <r>
      <rPr>
        <sz val="11"/>
        <color theme="1"/>
        <rFont val="Calibri"/>
        <family val="2"/>
        <scheme val="minor"/>
      </rPr>
      <t xml:space="preserve"> Mantarochen gesehen haben</t>
    </r>
  </si>
  <si>
    <r>
      <t xml:space="preserve">also i wir haben </t>
    </r>
    <r>
      <rPr>
        <sz val="11"/>
        <color rgb="FFFF0000"/>
        <rFont val="Calibri"/>
        <family val="2"/>
        <scheme val="minor"/>
      </rPr>
      <t>ähm</t>
    </r>
    <r>
      <rPr>
        <sz val="11"/>
        <color theme="1"/>
        <rFont val="Calibri"/>
        <family val="2"/>
        <scheme val="minor"/>
      </rPr>
      <t xml:space="preserve"> der Papa hat irgendeinen Bekannten in Vorarlberg</t>
    </r>
  </si>
  <si>
    <r>
      <t xml:space="preserve">weil er wirklich total motiviert war und und hat </t>
    </r>
    <r>
      <rPr>
        <sz val="11"/>
        <color rgb="FFFF0000"/>
        <rFont val="Calibri"/>
        <family val="2"/>
        <scheme val="minor"/>
      </rPr>
      <t>ah ähm</t>
    </r>
    <r>
      <rPr>
        <sz val="11"/>
        <color theme="1"/>
        <rFont val="Calibri"/>
        <family val="2"/>
        <scheme val="minor"/>
      </rPr>
      <t xml:space="preserve"> ja von den Videos her war es wirklich super</t>
    </r>
  </si>
  <si>
    <r>
      <t xml:space="preserve">und jedenfalls hör mir zu </t>
    </r>
    <r>
      <rPr>
        <sz val="11"/>
        <color rgb="FFFF0000"/>
        <rFont val="Calibri"/>
        <family val="2"/>
        <scheme val="minor"/>
      </rPr>
      <t>ähm</t>
    </r>
    <r>
      <rPr>
        <sz val="11"/>
        <color theme="1"/>
        <rFont val="Calibri"/>
        <family val="2"/>
        <scheme val="minor"/>
      </rPr>
      <t xml:space="preserve"> komme ich zur Keppabrücke</t>
    </r>
  </si>
  <si>
    <r>
      <t xml:space="preserve">der hat beschrieben </t>
    </r>
    <r>
      <rPr>
        <sz val="11"/>
        <color rgb="FFFF0000"/>
        <rFont val="Calibri"/>
        <family val="2"/>
        <scheme val="minor"/>
      </rPr>
      <t>ähm</t>
    </r>
    <r>
      <rPr>
        <sz val="11"/>
        <color theme="1"/>
        <rFont val="Calibri"/>
        <family val="2"/>
        <scheme val="minor"/>
      </rPr>
      <t xml:space="preserve"> ja keine Ahnung</t>
    </r>
  </si>
  <si>
    <r>
      <t xml:space="preserve">er muss sich eine genaue </t>
    </r>
    <r>
      <rPr>
        <sz val="11"/>
        <color rgb="FFFF0000"/>
        <rFont val="Calibri"/>
        <family val="2"/>
        <scheme val="minor"/>
      </rPr>
      <t>ahm</t>
    </r>
    <r>
      <rPr>
        <sz val="11"/>
        <color theme="1"/>
        <rFont val="Calibri"/>
        <family val="2"/>
        <scheme val="minor"/>
      </rPr>
      <t xml:space="preserve"> eine &lt;*ENG&gt;study &lt;*ENG&gt;question überlegen </t>
    </r>
  </si>
  <si>
    <r>
      <t xml:space="preserve">wenn_du dort </t>
    </r>
    <r>
      <rPr>
        <sz val="11"/>
        <color rgb="FFFF0000"/>
        <rFont val="Calibri"/>
        <family val="2"/>
        <scheme val="minor"/>
      </rPr>
      <t>ahm</t>
    </r>
    <r>
      <rPr>
        <sz val="11"/>
        <color theme="1"/>
        <rFont val="Calibri"/>
        <family val="2"/>
        <scheme val="minor"/>
      </rPr>
      <t xml:space="preserve"> sagen wir einmal einen Doktor machst oder so</t>
    </r>
  </si>
  <si>
    <r>
      <t xml:space="preserve">dann machst du den </t>
    </r>
    <r>
      <rPr>
        <sz val="11"/>
        <color rgb="FFFF0000"/>
        <rFont val="Calibri"/>
        <family val="2"/>
        <scheme val="minor"/>
      </rPr>
      <t>ahm</t>
    </r>
    <r>
      <rPr>
        <sz val="11"/>
        <color theme="1"/>
        <rFont val="Calibri"/>
        <family val="2"/>
        <scheme val="minor"/>
      </rPr>
      <t xml:space="preserve"> in der Elektrotechnik</t>
    </r>
  </si>
  <si>
    <r>
      <t xml:space="preserve">das $S $P $S $C das macht </t>
    </r>
    <r>
      <rPr>
        <sz val="11"/>
        <color rgb="FFFF0000"/>
        <rFont val="Calibri"/>
        <family val="2"/>
        <scheme val="minor"/>
      </rPr>
      <t>ahm</t>
    </r>
    <r>
      <rPr>
        <sz val="11"/>
        <color theme="1"/>
        <rFont val="Calibri"/>
        <family val="2"/>
        <scheme val="minor"/>
      </rPr>
      <t xml:space="preserve"> ja hm das beschäftigt sich einfach (+ mit + mit +) Signalverarbeitung</t>
    </r>
  </si>
  <si>
    <r>
      <t xml:space="preserve">das muss aber irgendeine eine, </t>
    </r>
    <r>
      <rPr>
        <sz val="11"/>
        <color rgb="FFFF0000"/>
        <rFont val="Calibri"/>
        <family val="2"/>
        <scheme val="minor"/>
      </rPr>
      <t>ähm</t>
    </r>
    <r>
      <rPr>
        <sz val="11"/>
        <color theme="1"/>
        <rFont val="Calibri"/>
        <family val="2"/>
        <scheme val="minor"/>
      </rPr>
      <t xml:space="preserve"> eine Schule für Berufstätige sein</t>
    </r>
  </si>
  <si>
    <r>
      <t xml:space="preserve">und das ist dann egal ob_du ob_du als </t>
    </r>
    <r>
      <rPr>
        <sz val="11"/>
        <color rgb="FFFF0000"/>
        <rFont val="Calibri"/>
        <family val="2"/>
        <scheme val="minor"/>
      </rPr>
      <t>ähm</t>
    </r>
    <r>
      <rPr>
        <sz val="11"/>
        <color theme="1"/>
        <rFont val="Calibri"/>
        <family val="2"/>
        <scheme val="minor"/>
      </rPr>
      <t xml:space="preserve"> Tontechniker ob_du Tontechniker studiert hast</t>
    </r>
  </si>
  <si>
    <r>
      <t xml:space="preserve">hinten war es ja </t>
    </r>
    <r>
      <rPr>
        <sz val="11"/>
        <color rgb="FFFF0000"/>
        <rFont val="Calibri"/>
        <family val="2"/>
        <scheme val="minor"/>
      </rPr>
      <t>äh</t>
    </r>
    <r>
      <rPr>
        <sz val="11"/>
        <color theme="1"/>
        <rFont val="Calibri"/>
        <family val="2"/>
        <scheme val="minor"/>
      </rPr>
      <t xml:space="preserve"> zirka vier Zentimeter höher als vorne</t>
    </r>
  </si>
  <si>
    <r>
      <t xml:space="preserve">dadurch schon eine Lehr und Lernfähigkeit </t>
    </r>
    <r>
      <rPr>
        <sz val="11"/>
        <color rgb="FFFF0000"/>
        <rFont val="Calibri"/>
        <family val="2"/>
        <scheme val="minor"/>
      </rPr>
      <t>äh</t>
    </r>
    <r>
      <rPr>
        <sz val="11"/>
        <color theme="1"/>
        <rFont val="Calibri"/>
        <family val="2"/>
        <scheme val="minor"/>
      </rPr>
      <t xml:space="preserve"> im Alltag einfach beweise</t>
    </r>
  </si>
  <si>
    <r>
      <t xml:space="preserve">da hat es so eine </t>
    </r>
    <r>
      <rPr>
        <sz val="11"/>
        <color rgb="FFFF0000"/>
        <rFont val="Calibri"/>
        <family val="2"/>
        <scheme val="minor"/>
      </rPr>
      <t>ähm</t>
    </r>
    <r>
      <rPr>
        <sz val="11"/>
        <color theme="1"/>
        <rFont val="Calibri"/>
        <family val="2"/>
        <scheme val="minor"/>
      </rPr>
      <t xml:space="preserve"> Umweltfahrkarte gegeben in Wien</t>
    </r>
  </si>
  <si>
    <r>
      <t xml:space="preserve">ein bisschen Magen empfindlich ist er und </t>
    </r>
    <r>
      <rPr>
        <sz val="11"/>
        <color rgb="FFFF0000"/>
        <rFont val="Calibri"/>
        <family val="2"/>
        <scheme val="minor"/>
      </rPr>
      <t>ähm</t>
    </r>
    <r>
      <rPr>
        <sz val="11"/>
        <color theme="1"/>
        <rFont val="Calibri"/>
        <family val="2"/>
        <scheme val="minor"/>
      </rPr>
      <t xml:space="preserve"> er hat gesagt er kann nur nichts essen aber was trinken kann er schon</t>
    </r>
  </si>
  <si>
    <r>
      <t xml:space="preserve">ja ich habe dann nachher eingeschalten </t>
    </r>
    <r>
      <rPr>
        <sz val="11"/>
        <color rgb="FFFF0000"/>
        <rFont val="Calibri"/>
        <family val="2"/>
        <scheme val="minor"/>
      </rPr>
      <t>äh</t>
    </r>
    <r>
      <rPr>
        <sz val="11"/>
        <color theme="1"/>
        <rFont val="Calibri"/>
        <family val="2"/>
        <scheme val="minor"/>
      </rPr>
      <t xml:space="preserve"> und zwar das Babylon #fünf den letzten Film</t>
    </r>
  </si>
  <si>
    <r>
      <t xml:space="preserve">der nimmt meine </t>
    </r>
    <r>
      <rPr>
        <sz val="11"/>
        <color rgb="FFFF0000"/>
        <rFont val="Calibri"/>
        <family val="2"/>
        <scheme val="minor"/>
      </rPr>
      <t>ähm</t>
    </r>
    <r>
      <rPr>
        <sz val="11"/>
        <color theme="1"/>
        <rFont val="Calibri"/>
        <family val="2"/>
        <scheme val="minor"/>
      </rPr>
      <t xml:space="preserve"> mein direkt mein mein Stimmbandsignal auf</t>
    </r>
  </si>
  <si>
    <r>
      <t xml:space="preserve">ist definitiv nicht dieses Sprachassistenz </t>
    </r>
    <r>
      <rPr>
        <sz val="11"/>
        <color rgb="FFFF0000"/>
        <rFont val="Calibri"/>
        <family val="2"/>
        <scheme val="minor"/>
      </rPr>
      <t>ahm</t>
    </r>
    <r>
      <rPr>
        <sz val="11"/>
        <color theme="1"/>
        <rFont val="Calibri"/>
        <family val="2"/>
        <scheme val="minor"/>
      </rPr>
      <t xml:space="preserve"> die Stelle eigentlich</t>
    </r>
  </si>
  <si>
    <r>
      <t xml:space="preserve">eben Literatur </t>
    </r>
    <r>
      <rPr>
        <sz val="11"/>
        <color rgb="FFFF0000"/>
        <rFont val="Calibri"/>
        <family val="2"/>
        <scheme val="minor"/>
      </rPr>
      <t>äh</t>
    </r>
    <r>
      <rPr>
        <sz val="11"/>
        <color theme="1"/>
        <rFont val="Calibri"/>
        <family val="2"/>
        <scheme val="minor"/>
      </rPr>
      <t xml:space="preserve"> Recherche dazu</t>
    </r>
  </si>
  <si>
    <r>
      <t xml:space="preserve">wie schaut das generell aus i bei zweisprachigen Kindern und </t>
    </r>
    <r>
      <rPr>
        <sz val="11"/>
        <color rgb="FFFF0000"/>
        <rFont val="Calibri"/>
        <family val="2"/>
        <scheme val="minor"/>
      </rPr>
      <t>ähm</t>
    </r>
    <r>
      <rPr>
        <sz val="11"/>
        <color theme="1"/>
        <rFont val="Calibri"/>
        <family val="2"/>
        <scheme val="minor"/>
      </rPr>
      <t xml:space="preserve"> eben Literatur</t>
    </r>
  </si>
  <si>
    <r>
      <t xml:space="preserve">zum simultanen Messen von </t>
    </r>
    <r>
      <rPr>
        <sz val="11"/>
        <color rgb="FFFF0000"/>
        <rFont val="Calibri"/>
        <family val="2"/>
        <scheme val="minor"/>
      </rPr>
      <t>äh</t>
    </r>
    <r>
      <rPr>
        <sz val="11"/>
        <color theme="1"/>
        <rFont val="Calibri"/>
        <family val="2"/>
        <scheme val="minor"/>
      </rPr>
      <t xml:space="preserve"> Grundfrequenzen in Sprachen</t>
    </r>
  </si>
  <si>
    <r>
      <t xml:space="preserve">die Leute ruckln dann herum mit dem und dann </t>
    </r>
    <r>
      <rPr>
        <sz val="11"/>
        <color rgb="FFFF0000"/>
        <rFont val="Calibri"/>
        <family val="2"/>
        <scheme val="minor"/>
      </rPr>
      <t>ahm</t>
    </r>
    <r>
      <rPr>
        <sz val="11"/>
        <color theme="1"/>
        <rFont val="Calibri"/>
        <family val="2"/>
        <scheme val="minor"/>
      </rPr>
      <t xml:space="preserve"> also du hast Störungen drauf</t>
    </r>
  </si>
  <si>
    <r>
      <t xml:space="preserve">wenn_du richtig machen willst dann musst Chinesisch lernen und </t>
    </r>
    <r>
      <rPr>
        <sz val="11"/>
        <color rgb="FFFF0000"/>
        <rFont val="Calibri"/>
        <family val="2"/>
        <scheme val="minor"/>
      </rPr>
      <t>ähm</t>
    </r>
    <r>
      <rPr>
        <sz val="11"/>
        <color theme="1"/>
        <rFont val="Calibri"/>
        <family val="2"/>
        <scheme val="minor"/>
      </rPr>
      <t xml:space="preserve"> wirst halt so in die buddhistischen Lehren auch eingeführt</t>
    </r>
  </si>
  <si>
    <r>
      <t xml:space="preserve">ist dir kalt </t>
    </r>
    <r>
      <rPr>
        <sz val="11"/>
        <color rgb="FFFF0000"/>
        <rFont val="Calibri"/>
        <family val="2"/>
        <scheme val="minor"/>
      </rPr>
      <t>äh</t>
    </r>
    <r>
      <rPr>
        <sz val="11"/>
        <color theme="1"/>
        <rFont val="Calibri"/>
        <family val="2"/>
        <scheme val="minor"/>
      </rPr>
      <t xml:space="preserve"> ist dir warm mir ist mir ist nicht warm mir ist eher kalt</t>
    </r>
  </si>
  <si>
    <r>
      <t xml:space="preserve">ich heute ein zweieinhalb jähriges Kind </t>
    </r>
    <r>
      <rPr>
        <sz val="11"/>
        <color rgb="FFFF0000"/>
        <rFont val="Calibri"/>
        <family val="2"/>
        <scheme val="minor"/>
      </rPr>
      <t>ah</t>
    </r>
    <r>
      <rPr>
        <sz val="11"/>
        <color theme="1"/>
        <rFont val="Calibri"/>
        <family val="2"/>
        <scheme val="minor"/>
      </rPr>
      <t xml:space="preserve"> gehabt in der Beratung</t>
    </r>
  </si>
  <si>
    <r>
      <t xml:space="preserve">wie heißt </t>
    </r>
    <r>
      <rPr>
        <sz val="11"/>
        <color rgb="FFFF0000"/>
        <rFont val="Calibri"/>
        <family val="2"/>
        <scheme val="minor"/>
      </rPr>
      <t>äh</t>
    </r>
    <r>
      <rPr>
        <sz val="11"/>
        <color theme="1"/>
        <rFont val="Calibri"/>
        <family val="2"/>
        <scheme val="minor"/>
      </rPr>
      <t xml:space="preserve"> der Bezirk wo du wohnst</t>
    </r>
  </si>
  <si>
    <r>
      <t xml:space="preserve">und dann coole Promenade und </t>
    </r>
    <r>
      <rPr>
        <sz val="11"/>
        <color rgb="FFFF0000"/>
        <rFont val="Calibri"/>
        <family val="2"/>
        <scheme val="minor"/>
      </rPr>
      <t>äh</t>
    </r>
    <r>
      <rPr>
        <sz val="11"/>
        <color theme="1"/>
        <rFont val="Calibri"/>
        <family val="2"/>
        <scheme val="minor"/>
      </rPr>
      <t xml:space="preserve"> so Cafés und man schwimmen drin</t>
    </r>
  </si>
  <si>
    <r>
      <t xml:space="preserve">es wäre dort eine interessante </t>
    </r>
    <r>
      <rPr>
        <sz val="11"/>
        <color rgb="FFFF0000"/>
        <rFont val="Calibri"/>
        <family val="2"/>
        <scheme val="minor"/>
      </rPr>
      <t>äh</t>
    </r>
    <r>
      <rPr>
        <sz val="11"/>
        <color theme="1"/>
        <rFont val="Calibri"/>
        <family val="2"/>
        <scheme val="minor"/>
      </rPr>
      <t xml:space="preserve"> Firma gewesen</t>
    </r>
  </si>
  <si>
    <r>
      <t xml:space="preserve">ja die Philosophie dabei ist dass </t>
    </r>
    <r>
      <rPr>
        <sz val="11"/>
        <color rgb="FFFF0000"/>
        <rFont val="Calibri"/>
        <family val="2"/>
        <scheme val="minor"/>
      </rPr>
      <t>ahm</t>
    </r>
    <r>
      <rPr>
        <sz val="11"/>
        <color theme="1"/>
        <rFont val="Calibri"/>
        <family val="2"/>
        <scheme val="minor"/>
      </rPr>
      <t xml:space="preserve"> der größte Fehler bei Rauchern ist eben</t>
    </r>
  </si>
  <si>
    <r>
      <t>aber die Frage ist</t>
    </r>
    <r>
      <rPr>
        <sz val="11"/>
        <color rgb="FFFF0000"/>
        <rFont val="Calibri"/>
        <family val="2"/>
        <scheme val="minor"/>
      </rPr>
      <t xml:space="preserve"> ähm</t>
    </r>
    <r>
      <rPr>
        <sz val="11"/>
        <color theme="1"/>
        <rFont val="Calibri"/>
        <family val="2"/>
        <scheme val="minor"/>
      </rPr>
      <t xml:space="preserve"> weißt eh wenn es die Couch ist die du haben willst</t>
    </r>
  </si>
  <si>
    <r>
      <t xml:space="preserve">und dann </t>
    </r>
    <r>
      <rPr>
        <sz val="11"/>
        <color rgb="FFFF0000"/>
        <rFont val="Calibri"/>
        <family val="2"/>
        <scheme val="minor"/>
      </rPr>
      <t>ahm</t>
    </r>
    <r>
      <rPr>
        <sz val="11"/>
        <color theme="1"/>
        <rFont val="Calibri"/>
        <family val="2"/>
        <scheme val="minor"/>
      </rPr>
      <t xml:space="preserve"> naja habe ich halt erfahren</t>
    </r>
  </si>
  <si>
    <r>
      <t xml:space="preserve">die Verfassung keinen Übersprung </t>
    </r>
    <r>
      <rPr>
        <sz val="11"/>
        <color rgb="FFFF0000"/>
        <rFont val="Calibri"/>
        <family val="2"/>
        <scheme val="minor"/>
      </rPr>
      <t>äh</t>
    </r>
    <r>
      <rPr>
        <sz val="11"/>
        <color theme="1"/>
        <rFont val="Calibri"/>
        <family val="2"/>
        <scheme val="minor"/>
      </rPr>
      <t xml:space="preserve"> vorsieht</t>
    </r>
  </si>
  <si>
    <r>
      <t xml:space="preserve">nein aber </t>
    </r>
    <r>
      <rPr>
        <sz val="11"/>
        <color rgb="FFFF0000"/>
        <rFont val="Calibri"/>
        <family val="2"/>
        <scheme val="minor"/>
      </rPr>
      <t>äh</t>
    </r>
    <r>
      <rPr>
        <sz val="11"/>
        <color theme="1"/>
        <rFont val="Calibri"/>
        <family val="2"/>
        <scheme val="minor"/>
      </rPr>
      <t xml:space="preserve"> die wild Kiwis steirische Kiwis</t>
    </r>
  </si>
  <si>
    <r>
      <t xml:space="preserve">ja jetzt ist </t>
    </r>
    <r>
      <rPr>
        <sz val="11"/>
        <color rgb="FFFF0000"/>
        <rFont val="Calibri"/>
        <family val="2"/>
        <scheme val="minor"/>
      </rPr>
      <t>äh</t>
    </r>
    <r>
      <rPr>
        <sz val="11"/>
        <color theme="1"/>
        <rFont val="Calibri"/>
        <family val="2"/>
        <scheme val="minor"/>
      </rPr>
      <t xml:space="preserve"> Jahr der Schlange</t>
    </r>
  </si>
  <si>
    <t>front</t>
  </si>
  <si>
    <r>
      <t xml:space="preserve">und du hast das jetzt </t>
    </r>
    <r>
      <rPr>
        <sz val="11"/>
        <color rgb="FFFF0000"/>
        <rFont val="Calibri"/>
        <family val="2"/>
        <scheme val="minor"/>
      </rPr>
      <t>äh</t>
    </r>
    <r>
      <rPr>
        <sz val="11"/>
        <color theme="1"/>
        <rFont val="Calibri"/>
        <family val="2"/>
        <scheme val="minor"/>
      </rPr>
      <t xml:space="preserve"> du hast das jetzt du hast das falsch gespielt</t>
    </r>
  </si>
  <si>
    <t>ManualCorrectionOrtho</t>
  </si>
  <si>
    <r>
      <t xml:space="preserve">Graz sage ich </t>
    </r>
    <r>
      <rPr>
        <sz val="11"/>
        <color rgb="FFFF0000"/>
        <rFont val="Calibri"/>
        <family val="2"/>
        <scheme val="minor"/>
      </rPr>
      <t>äh</t>
    </r>
    <r>
      <rPr>
        <sz val="11"/>
        <color theme="1"/>
        <rFont val="Calibri"/>
        <family val="2"/>
        <scheme val="minor"/>
      </rPr>
      <t xml:space="preserve"> nur so im Grünbereich</t>
    </r>
  </si>
  <si>
    <r>
      <t xml:space="preserve">weil das ist </t>
    </r>
    <r>
      <rPr>
        <sz val="11"/>
        <color rgb="FFFF0000"/>
        <rFont val="Calibri"/>
        <family val="2"/>
        <scheme val="minor"/>
      </rPr>
      <t>äh</t>
    </r>
    <r>
      <rPr>
        <sz val="11"/>
        <color theme="1"/>
        <rFont val="Calibri"/>
        <family val="2"/>
        <scheme val="minor"/>
      </rPr>
      <t xml:space="preserve"> moralisch ja nicht vertretbar das Ganze</t>
    </r>
  </si>
  <si>
    <r>
      <t xml:space="preserve">ich glaube jedes Jahr zwanzigtausend </t>
    </r>
    <r>
      <rPr>
        <sz val="11"/>
        <color rgb="FFFF0000"/>
        <rFont val="Calibri"/>
        <family val="2"/>
        <scheme val="minor"/>
      </rPr>
      <t>ahm</t>
    </r>
    <r>
      <rPr>
        <sz val="11"/>
        <color theme="1"/>
        <rFont val="Calibri"/>
        <family val="2"/>
        <scheme val="minor"/>
      </rPr>
      <t xml:space="preserve"> Steine aus dem Weltraum auf die Erde fallen</t>
    </r>
  </si>
  <si>
    <r>
      <t xml:space="preserve">und dann steht auf der Einladung oben </t>
    </r>
    <r>
      <rPr>
        <sz val="11"/>
        <color rgb="FFFF0000"/>
        <rFont val="Calibri"/>
        <family val="2"/>
        <scheme val="minor"/>
      </rPr>
      <t>ahm</t>
    </r>
    <r>
      <rPr>
        <sz val="11"/>
        <color theme="1"/>
        <rFont val="Calibri"/>
        <family val="2"/>
        <scheme val="minor"/>
      </rPr>
      <t xml:space="preserve"> und es ist die also es ist ein Wettbewerb für Studierende</t>
    </r>
  </si>
  <si>
    <r>
      <t xml:space="preserve">also es ist ein Wettbewerb für Studierende </t>
    </r>
    <r>
      <rPr>
        <sz val="11"/>
        <color rgb="FFFF0000"/>
        <rFont val="Calibri"/>
        <family val="2"/>
        <scheme val="minor"/>
      </rPr>
      <t>äh</t>
    </r>
    <r>
      <rPr>
        <sz val="11"/>
        <color theme="1"/>
        <rFont val="Calibri"/>
        <family val="2"/>
        <scheme val="minor"/>
      </rPr>
      <t xml:space="preserve"> das Thema eben starke Eltern starke Kinder</t>
    </r>
  </si>
  <si>
    <r>
      <t xml:space="preserve">Eltern wie sich die angesprochen fühlen </t>
    </r>
    <r>
      <rPr>
        <sz val="11"/>
        <color rgb="FFFF0000"/>
        <rFont val="Calibri"/>
        <family val="2"/>
        <scheme val="minor"/>
      </rPr>
      <t>äh</t>
    </r>
    <r>
      <rPr>
        <sz val="11"/>
        <color theme="1"/>
        <rFont val="Calibri"/>
        <family val="2"/>
        <scheme val="minor"/>
      </rPr>
      <t xml:space="preserve"> Ärzte und medizinischer Personal</t>
    </r>
  </si>
  <si>
    <t>medizinisches</t>
  </si>
  <si>
    <r>
      <t xml:space="preserve">Psychologen und so weiter </t>
    </r>
    <r>
      <rPr>
        <sz val="11"/>
        <color rgb="FFFF0000"/>
        <rFont val="Calibri"/>
        <family val="2"/>
        <scheme val="minor"/>
      </rPr>
      <t>ähm</t>
    </r>
    <r>
      <rPr>
        <sz val="11"/>
        <color theme="1"/>
        <rFont val="Calibri"/>
        <family val="2"/>
        <scheme val="minor"/>
      </rPr>
      <t xml:space="preserve"> so Ämter</t>
    </r>
  </si>
  <si>
    <t>shorter</t>
  </si>
  <si>
    <r>
      <t xml:space="preserve">und wenn du einmal </t>
    </r>
    <r>
      <rPr>
        <sz val="11"/>
        <color rgb="FFFF0000"/>
        <rFont val="Calibri"/>
        <family val="2"/>
        <scheme val="minor"/>
      </rPr>
      <t>äh</t>
    </r>
    <r>
      <rPr>
        <sz val="11"/>
        <color theme="1"/>
        <rFont val="Calibri"/>
        <family val="2"/>
        <scheme val="minor"/>
      </rPr>
      <t xml:space="preserve"> ein Laserstrahl auftrifft</t>
    </r>
  </si>
  <si>
    <r>
      <t xml:space="preserve">dass die mit einem Raumschiff </t>
    </r>
    <r>
      <rPr>
        <sz val="11"/>
        <color rgb="FFFF0000"/>
        <rFont val="Calibri"/>
        <family val="2"/>
        <scheme val="minor"/>
      </rPr>
      <t>äh</t>
    </r>
    <r>
      <rPr>
        <sz val="11"/>
        <color theme="1"/>
        <rFont val="Calibri"/>
        <family val="2"/>
        <scheme val="minor"/>
      </rPr>
      <t xml:space="preserve"> im Weltall geflogen sind</t>
    </r>
  </si>
  <si>
    <t>"im" almost not there</t>
  </si>
  <si>
    <r>
      <t xml:space="preserve">und irgendeinen Meteoriten </t>
    </r>
    <r>
      <rPr>
        <sz val="11"/>
        <color rgb="FFFF0000"/>
        <rFont val="Calibri"/>
        <family val="2"/>
        <scheme val="minor"/>
      </rPr>
      <t>ähm</t>
    </r>
    <r>
      <rPr>
        <sz val="11"/>
        <color theme="1"/>
        <rFont val="Calibri"/>
        <family val="2"/>
        <scheme val="minor"/>
      </rPr>
      <t xml:space="preserve"> nachgeflogen sind</t>
    </r>
  </si>
  <si>
    <r>
      <t xml:space="preserve">Sprengkopf im Meteoriteninneren </t>
    </r>
    <r>
      <rPr>
        <sz val="11"/>
        <color rgb="FFFF0000"/>
        <rFont val="Calibri"/>
        <family val="2"/>
        <scheme val="minor"/>
      </rPr>
      <t>äh</t>
    </r>
    <r>
      <rPr>
        <sz val="11"/>
        <color theme="1"/>
        <rFont val="Calibri"/>
        <family val="2"/>
        <scheme val="minor"/>
      </rPr>
      <t xml:space="preserve"> abgelegt haben nach einer Bohrung</t>
    </r>
  </si>
  <si>
    <r>
      <t xml:space="preserve">das heißt ihr müsst eigentlich Wer </t>
    </r>
    <r>
      <rPr>
        <sz val="11"/>
        <color rgb="FFFF0000"/>
        <rFont val="Calibri"/>
        <family val="2"/>
        <scheme val="minor"/>
      </rPr>
      <t>äh</t>
    </r>
    <r>
      <rPr>
        <sz val="11"/>
        <color theme="1"/>
        <rFont val="Calibri"/>
        <family val="2"/>
        <scheme val="minor"/>
      </rPr>
      <t xml:space="preserve"> Werbung designen</t>
    </r>
  </si>
  <si>
    <r>
      <t xml:space="preserve">dass ab Juli die Schweizer Kracher verboten sind auch </t>
    </r>
    <r>
      <rPr>
        <sz val="11"/>
        <color rgb="FFFF0000"/>
        <rFont val="Calibri"/>
        <family val="2"/>
        <scheme val="minor"/>
      </rPr>
      <t>ähm</t>
    </r>
    <r>
      <rPr>
        <sz val="11"/>
        <color theme="1"/>
        <rFont val="Calibri"/>
        <family val="2"/>
        <scheme val="minor"/>
      </rPr>
      <t xml:space="preserve"> die Lagerung zu Hause ist schon verboten</t>
    </r>
  </si>
  <si>
    <r>
      <t xml:space="preserve">deswegen hatte ich jetzt heute und ges </t>
    </r>
    <r>
      <rPr>
        <sz val="11"/>
        <color rgb="FFFF0000"/>
        <rFont val="Calibri"/>
        <family val="2"/>
        <scheme val="minor"/>
      </rPr>
      <t>äh</t>
    </r>
    <r>
      <rPr>
        <sz val="11"/>
        <color theme="1"/>
        <rFont val="Calibri"/>
        <family val="2"/>
        <scheme val="minor"/>
      </rPr>
      <t xml:space="preserve"> gestern und heute frei</t>
    </r>
  </si>
  <si>
    <r>
      <t xml:space="preserve">dass wir allen ein bisschen </t>
    </r>
    <r>
      <rPr>
        <sz val="11"/>
        <color rgb="FFFF0000"/>
        <rFont val="Calibri"/>
        <family val="2"/>
        <scheme val="minor"/>
      </rPr>
      <t>äh</t>
    </r>
    <r>
      <rPr>
        <sz val="11"/>
        <color theme="1"/>
        <rFont val="Calibri"/>
        <family val="2"/>
        <scheme val="minor"/>
      </rPr>
      <t xml:space="preserve"> vorsichtig gegenüber stehen nicht</t>
    </r>
  </si>
  <si>
    <r>
      <t xml:space="preserve">da verändert sie ihre Persönlichkeit und dann </t>
    </r>
    <r>
      <rPr>
        <sz val="11"/>
        <color rgb="FFFF0000"/>
        <rFont val="Calibri"/>
        <family val="2"/>
        <scheme val="minor"/>
      </rPr>
      <t>ähm</t>
    </r>
    <r>
      <rPr>
        <sz val="11"/>
        <color theme="1"/>
        <rFont val="Calibri"/>
        <family val="2"/>
        <scheme val="minor"/>
      </rPr>
      <t xml:space="preserve"> und die Leute reagieren halt darauf</t>
    </r>
  </si>
  <si>
    <r>
      <t xml:space="preserve">aber ich kann dir unseren Metallring zeigen der </t>
    </r>
    <r>
      <rPr>
        <sz val="11"/>
        <color rgb="FFFF0000"/>
        <rFont val="Calibri"/>
        <family val="2"/>
        <scheme val="minor"/>
      </rPr>
      <t xml:space="preserve">ähm </t>
    </r>
    <r>
      <rPr>
        <sz val="11"/>
        <color theme="1"/>
        <rFont val="Calibri"/>
        <family val="2"/>
        <scheme val="minor"/>
      </rPr>
      <t>von der Decke hängt</t>
    </r>
  </si>
  <si>
    <r>
      <t xml:space="preserve">das Gebäude steht eigentlich </t>
    </r>
    <r>
      <rPr>
        <sz val="11"/>
        <color rgb="FFFF0000"/>
        <rFont val="Calibri"/>
        <family val="2"/>
        <scheme val="minor"/>
      </rPr>
      <t>äh ah</t>
    </r>
    <r>
      <rPr>
        <sz val="11"/>
        <color theme="1"/>
        <rFont val="Calibri"/>
        <family val="2"/>
        <scheme val="minor"/>
      </rPr>
      <t xml:space="preserve"> besteht auf Innenwänden und auf Säulen</t>
    </r>
  </si>
  <si>
    <r>
      <t xml:space="preserve">sie war ja immer so ganz kurz nur duschen und </t>
    </r>
    <r>
      <rPr>
        <sz val="11"/>
        <color rgb="FFFF0000"/>
        <rFont val="Calibri"/>
        <family val="2"/>
        <scheme val="minor"/>
      </rPr>
      <t>äh</t>
    </r>
    <r>
      <rPr>
        <sz val="11"/>
        <color theme="1"/>
        <rFont val="Calibri"/>
        <family val="2"/>
        <scheme val="minor"/>
      </rPr>
      <t xml:space="preserve"> ja Heißwasser sparen und so</t>
    </r>
  </si>
  <si>
    <r>
      <t xml:space="preserve">und dann geht in einer </t>
    </r>
    <r>
      <rPr>
        <sz val="11"/>
        <color rgb="FFFF0000"/>
        <rFont val="Calibri"/>
        <family val="2"/>
        <scheme val="minor"/>
      </rPr>
      <t>äh</t>
    </r>
    <r>
      <rPr>
        <sz val="11"/>
        <color theme="1"/>
        <rFont val="Calibri"/>
        <family val="2"/>
        <scheme val="minor"/>
      </rPr>
      <t xml:space="preserve"> Seite das Wasser durch</t>
    </r>
  </si>
  <si>
    <r>
      <t xml:space="preserve">aber braucht &lt;*DIAL&gt;lei sein </t>
    </r>
    <r>
      <rPr>
        <sz val="11"/>
        <color rgb="FFFF0000"/>
        <rFont val="Calibri"/>
        <family val="2"/>
        <scheme val="minor"/>
      </rPr>
      <t>äh</t>
    </r>
    <r>
      <rPr>
        <sz val="11"/>
        <color theme="1"/>
        <rFont val="Calibri"/>
        <family val="2"/>
        <scheme val="minor"/>
      </rPr>
      <t xml:space="preserve"> scheinen in der Nord und Südpolregion</t>
    </r>
  </si>
  <si>
    <t>er, gescheit fehlen</t>
  </si>
  <si>
    <r>
      <t xml:space="preserve">und beim Zurückfahren fahre ich </t>
    </r>
    <r>
      <rPr>
        <sz val="11"/>
        <color rgb="FFFF0000"/>
        <rFont val="Calibri"/>
        <family val="2"/>
        <scheme val="minor"/>
      </rPr>
      <t>ahm</t>
    </r>
    <r>
      <rPr>
        <sz val="11"/>
        <color theme="1"/>
        <rFont val="Calibri"/>
        <family val="2"/>
        <scheme val="minor"/>
      </rPr>
      <t xml:space="preserve"> über den Tag</t>
    </r>
  </si>
  <si>
    <r>
      <t xml:space="preserve">Antennen aufbauen </t>
    </r>
    <r>
      <rPr>
        <sz val="11"/>
        <color rgb="FFFF0000"/>
        <rFont val="Calibri"/>
        <family val="2"/>
        <scheme val="minor"/>
      </rPr>
      <t>äh</t>
    </r>
    <r>
      <rPr>
        <sz val="11"/>
        <color theme="1"/>
        <rFont val="Calibri"/>
        <family val="2"/>
        <scheme val="minor"/>
      </rPr>
      <t xml:space="preserve"> in Mulden hüpfen</t>
    </r>
  </si>
  <si>
    <t>Aufzählung</t>
  </si>
  <si>
    <r>
      <t xml:space="preserve">viel mit der Elektronik zu tun gehabt haben </t>
    </r>
    <r>
      <rPr>
        <sz val="11"/>
        <color rgb="FFFF0000"/>
        <rFont val="Calibri"/>
        <family val="2"/>
        <scheme val="minor"/>
      </rPr>
      <t>äh</t>
    </r>
    <r>
      <rPr>
        <sz val="11"/>
        <color theme="1"/>
        <rFont val="Calibri"/>
        <family val="2"/>
        <scheme val="minor"/>
      </rPr>
      <t xml:space="preserve"> Kabel aufbereitet</t>
    </r>
  </si>
  <si>
    <r>
      <t xml:space="preserve">dann haben wir </t>
    </r>
    <r>
      <rPr>
        <sz val="11"/>
        <color rgb="FFFF0000"/>
        <rFont val="Calibri"/>
        <family val="2"/>
        <scheme val="minor"/>
      </rPr>
      <t>ähm</t>
    </r>
    <r>
      <rPr>
        <sz val="11"/>
        <color theme="1"/>
        <rFont val="Calibri"/>
        <family val="2"/>
        <scheme val="minor"/>
      </rPr>
      <t xml:space="preserve"> Funksprüche um die ganze Welt geschickt</t>
    </r>
  </si>
  <si>
    <r>
      <t xml:space="preserve">vor ein paar Jahren waren </t>
    </r>
    <r>
      <rPr>
        <sz val="11"/>
        <color rgb="FFFF0000"/>
        <rFont val="Calibri"/>
        <family val="2"/>
        <scheme val="minor"/>
      </rPr>
      <t>ahm</t>
    </r>
    <r>
      <rPr>
        <sz val="11"/>
        <color theme="1"/>
        <rFont val="Calibri"/>
        <family val="2"/>
        <scheme val="minor"/>
      </rPr>
      <t xml:space="preserve"> haben wir (+ in + in +) Oberösterreich</t>
    </r>
  </si>
  <si>
    <r>
      <t xml:space="preserve">da haben sie einfach nur </t>
    </r>
    <r>
      <rPr>
        <sz val="11"/>
        <color rgb="FFFF0000"/>
        <rFont val="Calibri"/>
        <family val="2"/>
        <scheme val="minor"/>
      </rPr>
      <t>äh</t>
    </r>
    <r>
      <rPr>
        <sz val="11"/>
        <color theme="1"/>
        <rFont val="Calibri"/>
        <family val="2"/>
        <scheme val="minor"/>
      </rPr>
      <t xml:space="preserve"> eine oben offene Trennwand eingezogen</t>
    </r>
  </si>
  <si>
    <r>
      <t xml:space="preserve">es ist relativ </t>
    </r>
    <r>
      <rPr>
        <sz val="11"/>
        <color rgb="FFFF0000"/>
        <rFont val="Calibri"/>
        <family val="2"/>
        <scheme val="minor"/>
      </rPr>
      <t>äh</t>
    </r>
    <r>
      <rPr>
        <sz val="11"/>
        <color theme="1"/>
        <rFont val="Calibri"/>
        <family val="2"/>
        <scheme val="minor"/>
      </rPr>
      <t xml:space="preserve"> dicht das Holz</t>
    </r>
  </si>
  <si>
    <r>
      <t xml:space="preserve">nach jeden Kind hat er dann nur geschrieben </t>
    </r>
    <r>
      <rPr>
        <sz val="11"/>
        <color rgb="FFFF0000"/>
        <rFont val="Calibri"/>
        <family val="2"/>
        <scheme val="minor"/>
      </rPr>
      <t>ahm</t>
    </r>
    <r>
      <rPr>
        <sz val="11"/>
        <color theme="1"/>
        <rFont val="Calibri"/>
        <family val="2"/>
        <scheme val="minor"/>
      </rPr>
      <t xml:space="preserve"> ja das ist ein weiteres Beispiel dafür</t>
    </r>
  </si>
  <si>
    <r>
      <t xml:space="preserve">die haben </t>
    </r>
    <r>
      <rPr>
        <sz val="11"/>
        <color rgb="FFFF0000"/>
        <rFont val="Calibri"/>
        <family val="2"/>
        <scheme val="minor"/>
      </rPr>
      <t>ahm</t>
    </r>
    <r>
      <rPr>
        <sz val="11"/>
        <color theme="1"/>
        <rFont val="Calibri"/>
        <family val="2"/>
        <scheme val="minor"/>
      </rPr>
      <t xml:space="preserve"> (+ die hat + die hat +) ja &lt;&amp;b&gt;ei ein Haus bauen lassen</t>
    </r>
  </si>
  <si>
    <r>
      <t xml:space="preserve">die &lt;*DIAL&gt;depperte Messung alles fertig haben </t>
    </r>
    <r>
      <rPr>
        <sz val="11"/>
        <color rgb="FFFF0000"/>
        <rFont val="Calibri"/>
        <family val="2"/>
        <scheme val="minor"/>
      </rPr>
      <t>ahm</t>
    </r>
    <r>
      <rPr>
        <sz val="11"/>
        <color theme="1"/>
        <rFont val="Calibri"/>
        <family val="2"/>
        <scheme val="minor"/>
      </rPr>
      <t xml:space="preserve"> ich habe aber nur kalibriert die ganze Zeit</t>
    </r>
  </si>
  <si>
    <r>
      <t xml:space="preserve">ich habe allgemein schon gemerkt dass </t>
    </r>
    <r>
      <rPr>
        <sz val="11"/>
        <color rgb="FFFF0000"/>
        <rFont val="Calibri"/>
        <family val="2"/>
        <scheme val="minor"/>
      </rPr>
      <t>ah</t>
    </r>
    <r>
      <rPr>
        <sz val="11"/>
        <color theme="1"/>
        <rFont val="Calibri"/>
        <family val="2"/>
        <scheme val="minor"/>
      </rPr>
      <t xml:space="preserve"> Kinder die zweisprachig aufwachsen</t>
    </r>
  </si>
  <si>
    <r>
      <t xml:space="preserve">man kriegt </t>
    </r>
    <r>
      <rPr>
        <sz val="11"/>
        <color rgb="FFFF0000"/>
        <rFont val="Calibri"/>
        <family val="2"/>
        <scheme val="minor"/>
      </rPr>
      <t>äh</t>
    </r>
    <r>
      <rPr>
        <sz val="11"/>
        <color theme="1"/>
        <rFont val="Calibri"/>
        <family val="2"/>
        <scheme val="minor"/>
      </rPr>
      <t xml:space="preserve"> Strom und dann einen riesengroßen See</t>
    </r>
  </si>
  <si>
    <t>closing FP</t>
  </si>
  <si>
    <t>broken word</t>
  </si>
  <si>
    <t>not for sensitive audiences</t>
  </si>
  <si>
    <r>
      <t xml:space="preserve">und andere sagen dann wieder </t>
    </r>
    <r>
      <rPr>
        <sz val="11"/>
        <color rgb="FFFF0000"/>
        <rFont val="Calibri"/>
        <family val="2"/>
        <scheme val="minor"/>
      </rPr>
      <t>ahm</t>
    </r>
    <r>
      <rPr>
        <sz val="11"/>
        <color theme="1"/>
        <rFont val="Calibri"/>
        <family val="2"/>
        <scheme val="minor"/>
      </rPr>
      <t xml:space="preserve"> ja sie haben es genommen </t>
    </r>
  </si>
  <si>
    <r>
      <t xml:space="preserve">die man in Rom eben anschauen sollte ja und </t>
    </r>
    <r>
      <rPr>
        <sz val="11"/>
        <color rgb="FFFF0000"/>
        <rFont val="Calibri"/>
        <family val="2"/>
        <scheme val="minor"/>
      </rPr>
      <t>äh</t>
    </r>
    <r>
      <rPr>
        <sz val="11"/>
        <color theme="1"/>
        <rFont val="Calibri"/>
        <family val="2"/>
        <scheme val="minor"/>
      </rPr>
      <t xml:space="preserve"> ich habe zusammengerechnet #hundertzehn Euro an Eintritten gezahlt</t>
    </r>
  </si>
  <si>
    <r>
      <t xml:space="preserve">in Rom haben wir </t>
    </r>
    <r>
      <rPr>
        <sz val="11"/>
        <color rgb="FFFF0000"/>
        <rFont val="Calibri"/>
        <family val="2"/>
        <scheme val="minor"/>
      </rPr>
      <t xml:space="preserve">ähm </t>
    </r>
    <r>
      <rPr>
        <sz val="11"/>
        <color theme="1"/>
        <rFont val="Calibri"/>
        <family val="2"/>
        <scheme val="minor"/>
      </rPr>
      <t>zwei Tage lang haben wir &lt;*ENG&gt;Sightseeing gemacht in Rom</t>
    </r>
  </si>
  <si>
    <r>
      <t xml:space="preserve">und dann sieht man schon wie der Ring die Macht </t>
    </r>
    <r>
      <rPr>
        <sz val="11"/>
        <color rgb="FFFF0000"/>
        <rFont val="Calibri"/>
        <family val="2"/>
        <scheme val="minor"/>
      </rPr>
      <t xml:space="preserve">äh </t>
    </r>
    <r>
      <rPr>
        <sz val="11"/>
        <color theme="1"/>
        <rFont val="Calibri"/>
        <family val="2"/>
        <scheme val="minor"/>
      </rPr>
      <t>einnimmt von ihm oder</t>
    </r>
  </si>
  <si>
    <r>
      <t xml:space="preserve">ich finde das eigentlich so eine Frechheit weil </t>
    </r>
    <r>
      <rPr>
        <sz val="11"/>
        <color rgb="FFFF0000"/>
        <rFont val="Calibri"/>
        <family val="2"/>
        <scheme val="minor"/>
      </rPr>
      <t>ähm</t>
    </r>
    <r>
      <rPr>
        <sz val="11"/>
        <color theme="1"/>
        <rFont val="Calibri"/>
        <family val="2"/>
        <scheme val="minor"/>
      </rPr>
      <t xml:space="preserve"> das ist ernsthaft richtig scheiße</t>
    </r>
  </si>
  <si>
    <r>
      <t xml:space="preserve">eine Diplomarbeit die praktisch ist wie </t>
    </r>
    <r>
      <rPr>
        <sz val="11"/>
        <color rgb="FFFF0000"/>
        <rFont val="Calibri"/>
        <family val="2"/>
        <scheme val="minor"/>
      </rPr>
      <t>äh</t>
    </r>
    <r>
      <rPr>
        <sz val="11"/>
        <color theme="1"/>
        <rFont val="Calibri"/>
        <family val="2"/>
        <scheme val="minor"/>
      </rPr>
      <t xml:space="preserve"> ist das Material in der Schule</t>
    </r>
  </si>
  <si>
    <r>
      <t xml:space="preserve">man kann aber später eben auch mit </t>
    </r>
    <r>
      <rPr>
        <sz val="11"/>
        <color rgb="FFFF0000"/>
        <rFont val="Calibri"/>
        <family val="2"/>
        <scheme val="minor"/>
      </rPr>
      <t>äh</t>
    </r>
    <r>
      <rPr>
        <sz val="11"/>
        <color theme="1"/>
        <rFont val="Calibri"/>
        <family val="2"/>
        <scheme val="minor"/>
      </rPr>
      <t xml:space="preserve"> mit digitaler Signatur</t>
    </r>
  </si>
  <si>
    <r>
      <t xml:space="preserve">aber in dem Fall war es natürlich so dass es </t>
    </r>
    <r>
      <rPr>
        <sz val="11"/>
        <color rgb="FFFF0000"/>
        <rFont val="Calibri"/>
        <family val="2"/>
        <scheme val="minor"/>
      </rPr>
      <t>ähm</t>
    </r>
    <r>
      <rPr>
        <sz val="11"/>
        <color theme="1"/>
        <rFont val="Calibri"/>
        <family val="2"/>
        <scheme val="minor"/>
      </rPr>
      <t xml:space="preserve"> gewollt war muss man auch sagen</t>
    </r>
  </si>
  <si>
    <r>
      <t xml:space="preserve">wie sie klein war hat sie </t>
    </r>
    <r>
      <rPr>
        <sz val="11"/>
        <color rgb="FFFF0000"/>
        <rFont val="Calibri"/>
        <family val="2"/>
        <scheme val="minor"/>
      </rPr>
      <t>ähm</t>
    </r>
    <r>
      <rPr>
        <sz val="11"/>
        <color theme="1"/>
        <rFont val="Calibri"/>
        <family val="2"/>
        <scheme val="minor"/>
      </rPr>
      <t xml:space="preserve"> also so viel ich mich erinnern kann</t>
    </r>
  </si>
  <si>
    <r>
      <t>also so sie hat ja</t>
    </r>
    <r>
      <rPr>
        <sz val="11"/>
        <color rgb="FFFF0000"/>
        <rFont val="Calibri"/>
        <family val="2"/>
        <scheme val="minor"/>
      </rPr>
      <t xml:space="preserve"> ahm</t>
    </r>
    <r>
      <rPr>
        <sz val="11"/>
        <color theme="1"/>
        <rFont val="Calibri"/>
        <family val="2"/>
        <scheme val="minor"/>
      </rPr>
      <t xml:space="preserve"> Übersetzung studiert</t>
    </r>
  </si>
  <si>
    <r>
      <t xml:space="preserve">die hat ja dann sehr schnell gelernt und </t>
    </r>
    <r>
      <rPr>
        <sz val="11"/>
        <color rgb="FFFF0000"/>
        <rFont val="Calibri"/>
        <family val="2"/>
        <scheme val="minor"/>
      </rPr>
      <t>ahm</t>
    </r>
    <r>
      <rPr>
        <sz val="11"/>
        <color theme="1"/>
        <rFont val="Calibri"/>
        <family val="2"/>
        <scheme val="minor"/>
      </rPr>
      <t xml:space="preserve"> sie hat manchmal wie sie noch ganz klein war</t>
    </r>
  </si>
  <si>
    <r>
      <t xml:space="preserve">aber das finde ich immer so faszinierend </t>
    </r>
    <r>
      <rPr>
        <sz val="11"/>
        <color rgb="FFFF0000"/>
        <rFont val="Calibri"/>
        <family val="2"/>
        <scheme val="minor"/>
      </rPr>
      <t>(+ äh + äh +)</t>
    </r>
    <r>
      <rPr>
        <sz val="11"/>
        <color theme="1"/>
        <rFont val="Calibri"/>
        <family val="2"/>
        <scheme val="minor"/>
      </rPr>
      <t xml:space="preserve"> wo sie das alles her hat</t>
    </r>
  </si>
  <si>
    <r>
      <t xml:space="preserve">und das war einfach </t>
    </r>
    <r>
      <rPr>
        <sz val="11"/>
        <color rgb="FFFF0000"/>
        <rFont val="Calibri"/>
        <family val="2"/>
        <scheme val="minor"/>
      </rPr>
      <t>äh</t>
    </r>
    <r>
      <rPr>
        <sz val="11"/>
        <color theme="1"/>
        <rFont val="Calibri"/>
        <family val="2"/>
        <scheme val="minor"/>
      </rPr>
      <t xml:space="preserve"> Sonnen Zyklus abhängig </t>
    </r>
  </si>
  <si>
    <r>
      <t xml:space="preserve">und dann sind_wir irgendwie </t>
    </r>
    <r>
      <rPr>
        <sz val="11"/>
        <color rgb="FFFF0000"/>
        <rFont val="Calibri"/>
        <family val="2"/>
        <scheme val="minor"/>
      </rPr>
      <t>äh</t>
    </r>
    <r>
      <rPr>
        <sz val="11"/>
        <color theme="1"/>
        <rFont val="Calibri"/>
        <family val="2"/>
        <scheme val="minor"/>
      </rPr>
      <t xml:space="preserve"> die Cornelia hat halt ja</t>
    </r>
  </si>
  <si>
    <r>
      <t xml:space="preserve">so und so viel Probanden </t>
    </r>
    <r>
      <rPr>
        <sz val="11"/>
        <color rgb="FFFF0000"/>
        <rFont val="Calibri"/>
        <family val="2"/>
        <scheme val="minor"/>
      </rPr>
      <t>äh</t>
    </r>
    <r>
      <rPr>
        <sz val="11"/>
        <color theme="1"/>
        <rFont val="Calibri"/>
        <family val="2"/>
        <scheme val="minor"/>
      </rPr>
      <t xml:space="preserve"> probieren diese Methode</t>
    </r>
  </si>
  <si>
    <r>
      <t xml:space="preserve">[ ja ] aber es gibt </t>
    </r>
    <r>
      <rPr>
        <sz val="11"/>
        <color rgb="FFFF0000"/>
        <rFont val="Calibri"/>
        <family val="2"/>
        <scheme val="minor"/>
      </rPr>
      <t>äh</t>
    </r>
    <r>
      <rPr>
        <sz val="11"/>
        <color theme="1"/>
        <rFont val="Calibri"/>
        <family val="2"/>
        <scheme val="minor"/>
      </rPr>
      <t xml:space="preserve"> es wird immer solche Mittelsmänner geben</t>
    </r>
  </si>
  <si>
    <r>
      <t xml:space="preserve">weil es viel günstiger ist als wenn man die ganze Familie #S# </t>
    </r>
    <r>
      <rPr>
        <sz val="11"/>
        <color rgb="FFFF0000"/>
        <rFont val="Calibri"/>
        <family val="2"/>
        <scheme val="minor"/>
      </rPr>
      <t>äh</t>
    </r>
    <r>
      <rPr>
        <sz val="11"/>
        <color theme="1"/>
        <rFont val="Calibri"/>
        <family val="2"/>
        <scheme val="minor"/>
      </rPr>
      <t xml:space="preserve"> irgendwohin fährt</t>
    </r>
  </si>
  <si>
    <r>
      <t xml:space="preserve">was haben wir da gesehen den </t>
    </r>
    <r>
      <rPr>
        <sz val="11"/>
        <color rgb="FFFF0000"/>
        <rFont val="Calibri"/>
        <family val="2"/>
        <scheme val="minor"/>
      </rPr>
      <t>äh</t>
    </r>
    <r>
      <rPr>
        <sz val="11"/>
        <color theme="1"/>
        <rFont val="Calibri"/>
        <family val="2"/>
        <scheme val="minor"/>
      </rPr>
      <t xml:space="preserve"> nein wie heißt der Künstler schnell</t>
    </r>
  </si>
  <si>
    <r>
      <t xml:space="preserve">ich meine </t>
    </r>
    <r>
      <rPr>
        <sz val="11"/>
        <color rgb="FFFF0000"/>
        <rFont val="Calibri"/>
        <family val="2"/>
        <scheme val="minor"/>
      </rPr>
      <t>äh</t>
    </r>
    <r>
      <rPr>
        <sz val="11"/>
        <color theme="1"/>
        <rFont val="Calibri"/>
        <family val="2"/>
        <scheme val="minor"/>
      </rPr>
      <t xml:space="preserve"> der Matti wird ja schon #sieben jetzt</t>
    </r>
  </si>
  <si>
    <t>vokuhila</t>
  </si>
  <si>
    <r>
      <t xml:space="preserve">wie weit man die Daten interpretieren darf </t>
    </r>
    <r>
      <rPr>
        <sz val="11"/>
        <color rgb="FFFF0000"/>
        <rFont val="Calibri"/>
        <family val="2"/>
        <scheme val="minor"/>
      </rPr>
      <t>äh</t>
    </r>
    <r>
      <rPr>
        <sz val="11"/>
        <color theme="1"/>
        <rFont val="Calibri"/>
        <family val="2"/>
        <scheme val="minor"/>
      </rPr>
      <t xml:space="preserve"> bis zu wie viel Kilometer hinunter</t>
    </r>
  </si>
  <si>
    <r>
      <t xml:space="preserve">oder du </t>
    </r>
    <r>
      <rPr>
        <sz val="11"/>
        <color rgb="FFFF0000"/>
        <rFont val="Calibri"/>
        <family val="2"/>
        <scheme val="minor"/>
      </rPr>
      <t>äh</t>
    </r>
    <r>
      <rPr>
        <sz val="11"/>
        <color theme="1"/>
        <rFont val="Calibri"/>
        <family val="2"/>
        <scheme val="minor"/>
      </rPr>
      <t xml:space="preserve"> also als Chef</t>
    </r>
  </si>
  <si>
    <r>
      <t xml:space="preserve">da hat es dann nur noch im in der Innenstadt Hotels </t>
    </r>
    <r>
      <rPr>
        <sz val="11"/>
        <color rgb="FFFF0000"/>
        <rFont val="Calibri"/>
        <family val="2"/>
        <scheme val="minor"/>
      </rPr>
      <t>äh</t>
    </r>
    <r>
      <rPr>
        <sz val="11"/>
        <color theme="1"/>
        <rFont val="Calibri"/>
        <family val="2"/>
        <scheme val="minor"/>
      </rPr>
      <t xml:space="preserve"> #hundertachtzig Euro plus gegeben</t>
    </r>
  </si>
  <si>
    <r>
      <t xml:space="preserve">ja du sicher es ist </t>
    </r>
    <r>
      <rPr>
        <sz val="11"/>
        <color rgb="FFFF0000"/>
        <rFont val="Calibri"/>
        <family val="2"/>
        <scheme val="minor"/>
      </rPr>
      <t>ähm</t>
    </r>
    <r>
      <rPr>
        <sz val="11"/>
        <color theme="1"/>
        <rFont val="Calibri"/>
        <family val="2"/>
        <scheme val="minor"/>
      </rPr>
      <t xml:space="preserve"> , weißt eh jeder hat so seinen eigenen Stil</t>
    </r>
  </si>
  <si>
    <t>Marke Meerschweinchen</t>
  </si>
  <si>
    <r>
      <t xml:space="preserve">um dreiviertel #acht schon hin geradelt mit dem Moritz und es war </t>
    </r>
    <r>
      <rPr>
        <sz val="11"/>
        <color rgb="FFFF0000"/>
        <rFont val="Calibri"/>
        <family val="2"/>
        <scheme val="minor"/>
      </rPr>
      <t>äh</t>
    </r>
    <r>
      <rPr>
        <sz val="11"/>
        <color theme="1"/>
        <rFont val="Calibri"/>
        <family val="2"/>
        <scheme val="minor"/>
      </rPr>
      <t xml:space="preserve"> gefahren und es war kalt</t>
    </r>
  </si>
  <si>
    <t>late correction</t>
  </si>
  <si>
    <r>
      <t xml:space="preserve">mit meiner Trainingsrunde halt über die </t>
    </r>
    <r>
      <rPr>
        <sz val="11"/>
        <color rgb="FFFF0000"/>
        <rFont val="Calibri"/>
        <family val="2"/>
        <scheme val="minor"/>
      </rPr>
      <t>äh</t>
    </r>
    <r>
      <rPr>
        <sz val="11"/>
        <color theme="1"/>
        <rFont val="Calibri"/>
        <family val="2"/>
        <scheme val="minor"/>
      </rPr>
      <t xml:space="preserve"> Naturwissenschaften und wie sie so gestaffelt sind</t>
    </r>
  </si>
  <si>
    <r>
      <t xml:space="preserve">bei meiner Präsentation hat der, </t>
    </r>
    <r>
      <rPr>
        <sz val="11"/>
        <color rgb="FFFF0000"/>
        <rFont val="Calibri"/>
        <family val="2"/>
        <scheme val="minor"/>
      </rPr>
      <t>ähm</t>
    </r>
    <r>
      <rPr>
        <sz val="11"/>
        <color theme="1"/>
        <rFont val="Calibri"/>
        <family val="2"/>
        <scheme val="minor"/>
      </rPr>
      <t xml:space="preserve"> der Professor hat gemeint</t>
    </r>
  </si>
  <si>
    <t>Categories</t>
  </si>
  <si>
    <t>unglückliche Verkettung…</t>
  </si>
  <si>
    <r>
      <t xml:space="preserve">zum Beispiel wenn_du am Resowi unterwegs bist </t>
    </r>
    <r>
      <rPr>
        <sz val="11"/>
        <color rgb="FFFF0000"/>
        <rFont val="Calibri"/>
        <family val="2"/>
        <scheme val="minor"/>
      </rPr>
      <t>ähm</t>
    </r>
    <r>
      <rPr>
        <sz val="11"/>
        <color theme="1"/>
        <rFont val="Calibri"/>
        <family val="2"/>
        <scheme val="minor"/>
      </rPr>
      <t xml:space="preserve"> kennt man die Soziologen deutlich von den anderen heraus</t>
    </r>
  </si>
  <si>
    <t>cough</t>
  </si>
  <si>
    <r>
      <t xml:space="preserve">na ich habe einmal gefragt </t>
    </r>
    <r>
      <rPr>
        <sz val="11"/>
        <color rgb="FFFF0000"/>
        <rFont val="Calibri"/>
        <family val="2"/>
        <scheme val="minor"/>
      </rPr>
      <t>ahm</t>
    </r>
    <r>
      <rPr>
        <sz val="11"/>
        <color theme="1"/>
        <rFont val="Calibri"/>
        <family val="2"/>
        <scheme val="minor"/>
      </rPr>
      <t xml:space="preserve"> jetzt muss ich nachdenken wie ich das gesagt habe</t>
    </r>
  </si>
  <si>
    <r>
      <t xml:space="preserve">nein es ist offensichtlich eher </t>
    </r>
    <r>
      <rPr>
        <sz val="11"/>
        <color rgb="FFFF0000"/>
        <rFont val="Calibri"/>
        <family val="2"/>
        <scheme val="minor"/>
      </rPr>
      <t>ähm</t>
    </r>
    <r>
      <rPr>
        <sz val="11"/>
        <color theme="1"/>
        <rFont val="Calibri"/>
        <family val="2"/>
        <scheme val="minor"/>
      </rPr>
      <t xml:space="preserve"> hat was mit der Muskulatur zu tun</t>
    </r>
  </si>
  <si>
    <t>no disruption</t>
  </si>
  <si>
    <t>disruption at wrong point</t>
  </si>
  <si>
    <t>listen</t>
  </si>
  <si>
    <r>
      <t xml:space="preserve">die sagen sie wollen so wenig wie möglich ausgeben  </t>
    </r>
    <r>
      <rPr>
        <sz val="11"/>
        <color rgb="FFFF0000"/>
        <rFont val="Calibri"/>
        <family val="2"/>
        <scheme val="minor"/>
      </rPr>
      <t>ähm</t>
    </r>
    <r>
      <rPr>
        <sz val="11"/>
        <color theme="1"/>
        <rFont val="Calibri"/>
        <family val="2"/>
        <scheme val="minor"/>
      </rPr>
      <t xml:space="preserve"> und ich habe versucht</t>
    </r>
  </si>
  <si>
    <t>new</t>
  </si>
  <si>
    <t>too many numbers</t>
  </si>
  <si>
    <r>
      <t xml:space="preserve">so unser türkis ja genau </t>
    </r>
    <r>
      <rPr>
        <sz val="11"/>
        <color rgb="FFFF0000"/>
        <rFont val="Calibri"/>
        <family val="2"/>
        <scheme val="minor"/>
      </rPr>
      <t>ähm</t>
    </r>
    <r>
      <rPr>
        <sz val="11"/>
        <color theme="1"/>
        <rFont val="Calibri"/>
        <family val="2"/>
        <scheme val="minor"/>
      </rPr>
      <t xml:space="preserve"> weiß ist auch voll gut</t>
    </r>
  </si>
  <si>
    <r>
      <t xml:space="preserve">die Überlegungen waren jetzt graue Hose </t>
    </r>
    <r>
      <rPr>
        <sz val="11"/>
        <color rgb="FFFF0000"/>
        <rFont val="Calibri"/>
        <family val="2"/>
        <scheme val="minor"/>
      </rPr>
      <t>ähm</t>
    </r>
    <r>
      <rPr>
        <sz val="11"/>
        <color theme="1"/>
        <rFont val="Calibri"/>
        <family val="2"/>
        <scheme val="minor"/>
      </rPr>
      <t xml:space="preserve"> blaue Schuhe oder graue Schuhe blaue Hose</t>
    </r>
  </si>
  <si>
    <r>
      <t xml:space="preserve">ich habe heute an dich denken müssen wieder weil ich </t>
    </r>
    <r>
      <rPr>
        <sz val="11"/>
        <color rgb="FFFF0000"/>
        <rFont val="Calibri"/>
        <family val="2"/>
        <scheme val="minor"/>
      </rPr>
      <t>ahm</t>
    </r>
    <r>
      <rPr>
        <sz val="11"/>
        <color theme="1"/>
        <rFont val="Calibri"/>
        <family val="2"/>
        <scheme val="minor"/>
      </rPr>
      <t xml:space="preserve"> weißt eh wie ich erzählt habe</t>
    </r>
  </si>
  <si>
    <r>
      <t xml:space="preserve">graue Schuhe blaue Hose </t>
    </r>
    <r>
      <rPr>
        <sz val="11"/>
        <color rgb="FFFF0000"/>
        <rFont val="Calibri"/>
        <family val="2"/>
        <scheme val="minor"/>
      </rPr>
      <t>ahm</t>
    </r>
    <r>
      <rPr>
        <sz val="11"/>
        <color theme="1"/>
        <rFont val="Calibri"/>
        <family val="2"/>
        <scheme val="minor"/>
      </rPr>
      <t xml:space="preserve"> aber es gibt die beiden Varianten</t>
    </r>
  </si>
  <si>
    <t>other df</t>
  </si>
  <si>
    <t>eh</t>
  </si>
  <si>
    <t>not a fitting case</t>
  </si>
  <si>
    <r>
      <t xml:space="preserve">ja letztens hat er mich gefragt </t>
    </r>
    <r>
      <rPr>
        <sz val="11"/>
        <color rgb="FFFF0000"/>
        <rFont val="Calibri"/>
        <family val="2"/>
        <scheme val="minor"/>
      </rPr>
      <t>äh</t>
    </r>
    <r>
      <rPr>
        <sz val="11"/>
        <color theme="1"/>
        <rFont val="Calibri"/>
        <family val="2"/>
        <scheme val="minor"/>
      </rPr>
      <t xml:space="preserve"> hätte ich mich müssen anmelden</t>
    </r>
  </si>
  <si>
    <r>
      <t xml:space="preserve">und dann </t>
    </r>
    <r>
      <rPr>
        <sz val="11"/>
        <color rgb="FFFF0000"/>
        <rFont val="Calibri"/>
        <family val="2"/>
        <scheme val="minor"/>
      </rPr>
      <t>äh</t>
    </r>
    <r>
      <rPr>
        <sz val="11"/>
        <color theme="1"/>
        <rFont val="Calibri"/>
        <family val="2"/>
        <scheme val="minor"/>
      </rPr>
      <t xml:space="preserve"> siehst wie er den Stoff nimmt</t>
    </r>
  </si>
  <si>
    <t>und äh</t>
  </si>
  <si>
    <r>
      <t xml:space="preserve">ist das glaube ich eh wurscht </t>
    </r>
    <r>
      <rPr>
        <sz val="11"/>
        <color rgb="FFFF0000"/>
        <rFont val="Calibri"/>
        <family val="2"/>
        <scheme val="minor"/>
      </rPr>
      <t>ahm</t>
    </r>
    <r>
      <rPr>
        <sz val="11"/>
        <color theme="1"/>
        <rFont val="Calibri"/>
        <family val="2"/>
        <scheme val="minor"/>
      </rPr>
      <t xml:space="preserve"> du wirst wahrscheinlich Monat für Monat</t>
    </r>
  </si>
  <si>
    <r>
      <t xml:space="preserve">der hat mir so Sachen gelernt wie </t>
    </r>
    <r>
      <rPr>
        <sz val="11"/>
        <color rgb="FFFF0000"/>
        <rFont val="Calibri"/>
        <family val="2"/>
        <scheme val="minor"/>
      </rPr>
      <t>ahm</t>
    </r>
    <r>
      <rPr>
        <sz val="11"/>
        <color theme="1"/>
        <rFont val="Calibri"/>
        <family val="2"/>
        <scheme val="minor"/>
      </rPr>
      <t xml:space="preserve"> dass du einen Terminkalender brauchst</t>
    </r>
  </si>
  <si>
    <r>
      <t xml:space="preserve">ich war nämlich begeistert drüber dass du die &lt;*ENG&gt;E-Mails </t>
    </r>
    <r>
      <rPr>
        <sz val="11"/>
        <color rgb="FFFF0000"/>
        <rFont val="Calibri"/>
        <family val="2"/>
        <scheme val="minor"/>
      </rPr>
      <t>ahm</t>
    </r>
    <r>
      <rPr>
        <sz val="11"/>
        <color theme="1"/>
        <rFont val="Calibri"/>
        <family val="2"/>
        <scheme val="minor"/>
      </rPr>
      <t xml:space="preserve"> zusammengehörig sortiert hast</t>
    </r>
  </si>
  <si>
    <r>
      <t xml:space="preserve">du aber was anderes </t>
    </r>
    <r>
      <rPr>
        <sz val="11"/>
        <color rgb="FFFF0000"/>
        <rFont val="Calibri"/>
        <family val="2"/>
        <scheme val="minor"/>
      </rPr>
      <t>ahm</t>
    </r>
    <r>
      <rPr>
        <sz val="11"/>
        <color theme="1"/>
        <rFont val="Calibri"/>
        <family val="2"/>
        <scheme val="minor"/>
      </rPr>
      <t xml:space="preserve"> was wollte ich gerade fragen</t>
    </r>
  </si>
  <si>
    <r>
      <t xml:space="preserve">vom Telefon das auf die </t>
    </r>
    <r>
      <rPr>
        <sz val="11"/>
        <color rgb="FFFF0000"/>
        <rFont val="Calibri"/>
        <family val="2"/>
        <scheme val="minor"/>
      </rPr>
      <t>äh</t>
    </r>
    <r>
      <rPr>
        <sz val="11"/>
        <color theme="1"/>
        <rFont val="Calibri"/>
        <family val="2"/>
        <scheme val="minor"/>
      </rPr>
      <t xml:space="preserve"> $S $D Karte kopieren</t>
    </r>
  </si>
  <si>
    <r>
      <t xml:space="preserve">vom Betriebsrat </t>
    </r>
    <r>
      <rPr>
        <sz val="11"/>
        <color rgb="FFFF0000"/>
        <rFont val="Calibri"/>
        <family val="2"/>
        <scheme val="minor"/>
      </rPr>
      <t>ahm</t>
    </r>
    <r>
      <rPr>
        <sz val="11"/>
        <color theme="1"/>
        <rFont val="Calibri"/>
        <family val="2"/>
        <scheme val="minor"/>
      </rPr>
      <t xml:space="preserve"> und da habe ich wieder ein bisschen &lt;*DENG&gt;Lobbyingarbeit geleistet</t>
    </r>
  </si>
  <si>
    <r>
      <t xml:space="preserve">ich glaube schon dass du dir </t>
    </r>
    <r>
      <rPr>
        <sz val="11"/>
        <color rgb="FFFF0000"/>
        <rFont val="Calibri"/>
        <family val="2"/>
        <scheme val="minor"/>
      </rPr>
      <t>äh</t>
    </r>
    <r>
      <rPr>
        <sz val="11"/>
        <color theme="1"/>
        <rFont val="Calibri"/>
        <family val="2"/>
        <scheme val="minor"/>
      </rPr>
      <t xml:space="preserve"> gewisse Sachen merkst</t>
    </r>
  </si>
  <si>
    <t>not sure which case</t>
  </si>
  <si>
    <r>
      <t xml:space="preserve">aber das Kind ist dann reingekommen und </t>
    </r>
    <r>
      <rPr>
        <sz val="11"/>
        <color rgb="FFFF0000"/>
        <rFont val="Calibri"/>
        <family val="2"/>
        <scheme val="minor"/>
      </rPr>
      <t>ähm</t>
    </r>
    <r>
      <rPr>
        <sz val="11"/>
        <color theme="1"/>
        <rFont val="Calibri"/>
        <family val="2"/>
        <scheme val="minor"/>
      </rPr>
      <t xml:space="preserve"> der Psychiater das war ein Jugendpsychiater</t>
    </r>
  </si>
  <si>
    <r>
      <t xml:space="preserve">ja die sagen halt nicht einfach mehr solche Sachen wie </t>
    </r>
    <r>
      <rPr>
        <sz val="11"/>
        <color rgb="FFFF0000"/>
        <rFont val="Calibri"/>
        <family val="2"/>
        <scheme val="minor"/>
      </rPr>
      <t>ähm</t>
    </r>
    <r>
      <rPr>
        <sz val="11"/>
        <color theme="1"/>
        <rFont val="Calibri"/>
        <family val="2"/>
        <scheme val="minor"/>
      </rPr>
      <t xml:space="preserve"> ich weiß nicht fällt mir nichts ein</t>
    </r>
  </si>
  <si>
    <r>
      <t xml:space="preserve">und wenn jetzt wirklich </t>
    </r>
    <r>
      <rPr>
        <sz val="11"/>
        <color rgb="FFFF0000"/>
        <rFont val="Calibri"/>
        <family val="2"/>
        <scheme val="minor"/>
      </rPr>
      <t>ahm</t>
    </r>
    <r>
      <rPr>
        <sz val="11"/>
        <color theme="1"/>
        <rFont val="Calibri"/>
        <family val="2"/>
        <scheme val="minor"/>
      </rPr>
      <t xml:space="preserve"> was falsches eingegeben ist</t>
    </r>
  </si>
  <si>
    <t>Reasons</t>
  </si>
  <si>
    <r>
      <t xml:space="preserve">nein ruf mich an </t>
    </r>
    <r>
      <rPr>
        <sz val="11"/>
        <color rgb="FFFF0000"/>
        <rFont val="Calibri"/>
        <family val="2"/>
        <scheme val="minor"/>
      </rPr>
      <t>äh</t>
    </r>
    <r>
      <rPr>
        <sz val="11"/>
        <color theme="1"/>
        <rFont val="Calibri"/>
        <family val="2"/>
        <scheme val="minor"/>
      </rPr>
      <t xml:space="preserve"> ja wieso wir stehen ja jetzt da</t>
    </r>
  </si>
  <si>
    <r>
      <t xml:space="preserve">wenn ich ein A habe und dann </t>
    </r>
    <r>
      <rPr>
        <sz val="11"/>
        <color rgb="FFFF0000"/>
        <rFont val="Calibri"/>
        <family val="2"/>
        <scheme val="minor"/>
      </rPr>
      <t xml:space="preserve">äh äh </t>
    </r>
    <r>
      <rPr>
        <sz val="11"/>
        <color theme="1"/>
        <rFont val="Calibri"/>
        <family val="2"/>
        <scheme val="minor"/>
      </rPr>
      <t>ein B spielen muss</t>
    </r>
  </si>
  <si>
    <r>
      <t xml:space="preserve">was wollte ich noch sagen ja wenn man </t>
    </r>
    <r>
      <rPr>
        <sz val="11"/>
        <color rgb="FFFF0000"/>
        <rFont val="Calibri"/>
        <family val="2"/>
        <scheme val="minor"/>
      </rPr>
      <t>ähm</t>
    </r>
    <r>
      <rPr>
        <sz val="11"/>
        <color theme="1"/>
        <rFont val="Calibri"/>
        <family val="2"/>
        <scheme val="minor"/>
      </rPr>
      <t xml:space="preserve"> mit dem Gutschein ge mit gehen wir einmal essen jetzt</t>
    </r>
  </si>
  <si>
    <t>cut out "mit"?</t>
  </si>
  <si>
    <r>
      <t xml:space="preserve">was auch hilft ist </t>
    </r>
    <r>
      <rPr>
        <sz val="11"/>
        <color rgb="FFFF0000"/>
        <rFont val="Calibri"/>
        <family val="2"/>
        <scheme val="minor"/>
      </rPr>
      <t>ahm</t>
    </r>
    <r>
      <rPr>
        <sz val="11"/>
        <color theme="1"/>
        <rFont val="Calibri"/>
        <family val="2"/>
        <scheme val="minor"/>
      </rPr>
      <t xml:space="preserve"> meine Schwester hat nämlich angefangen</t>
    </r>
  </si>
  <si>
    <t>(for no)</t>
  </si>
  <si>
    <t>repetition</t>
  </si>
  <si>
    <t>shorten pause?</t>
  </si>
  <si>
    <r>
      <t xml:space="preserve">ja ich gehe gerne Roller skaten zum Beispiel </t>
    </r>
    <r>
      <rPr>
        <sz val="11"/>
        <color rgb="FFFF0000"/>
        <rFont val="Calibri"/>
        <family val="2"/>
        <scheme val="minor"/>
      </rPr>
      <t>ähm</t>
    </r>
    <r>
      <rPr>
        <sz val="11"/>
        <color theme="1"/>
        <rFont val="Calibri"/>
        <family val="2"/>
        <scheme val="minor"/>
      </rPr>
      <t xml:space="preserve"> manchmal aber nicht regelmäßig</t>
    </r>
  </si>
  <si>
    <r>
      <t xml:space="preserve">finde ich dass der zu wenig </t>
    </r>
    <r>
      <rPr>
        <sz val="11"/>
        <color rgb="FFFF0000"/>
        <rFont val="Calibri"/>
        <family val="2"/>
        <scheme val="minor"/>
      </rPr>
      <t>ahm</t>
    </r>
    <r>
      <rPr>
        <sz val="11"/>
        <color theme="1"/>
        <rFont val="Calibri"/>
        <family val="2"/>
        <scheme val="minor"/>
      </rPr>
      <t xml:space="preserve"> Ahnung hat</t>
    </r>
  </si>
  <si>
    <r>
      <t xml:space="preserve">bin ich noch nicht sicher </t>
    </r>
    <r>
      <rPr>
        <sz val="11"/>
        <color rgb="FFFF0000"/>
        <rFont val="Calibri"/>
        <family val="2"/>
        <scheme val="minor"/>
      </rPr>
      <t>ahm</t>
    </r>
    <r>
      <rPr>
        <sz val="11"/>
        <color theme="1"/>
        <rFont val="Calibri"/>
        <family val="2"/>
        <scheme val="minor"/>
      </rPr>
      <t xml:space="preserve"> die Agnes fährt mit dem Auto mit</t>
    </r>
  </si>
  <si>
    <r>
      <t xml:space="preserve">ich meine ich war ja </t>
    </r>
    <r>
      <rPr>
        <sz val="11"/>
        <color rgb="FFFF0000"/>
        <rFont val="Calibri"/>
        <family val="2"/>
        <scheme val="minor"/>
      </rPr>
      <t>äh</t>
    </r>
    <r>
      <rPr>
        <sz val="11"/>
        <color theme="1"/>
        <rFont val="Calibri"/>
        <family val="2"/>
        <scheme val="minor"/>
      </rPr>
      <t xml:space="preserve"> vier Monate vor euch mit dem Robert oben</t>
    </r>
  </si>
  <si>
    <t>#artefact = zwei</t>
  </si>
  <si>
    <r>
      <t xml:space="preserve">ein zwei haben immer </t>
    </r>
    <r>
      <rPr>
        <sz val="11"/>
        <color rgb="FFFF0000"/>
        <rFont val="Calibri"/>
        <family val="2"/>
        <scheme val="minor"/>
      </rPr>
      <t xml:space="preserve">ahm </t>
    </r>
    <r>
      <rPr>
        <sz val="11"/>
        <color theme="1"/>
        <rFont val="Calibri"/>
        <family val="2"/>
        <scheme val="minor"/>
      </rPr>
      <t>die müssen immer Wache stehen</t>
    </r>
  </si>
  <si>
    <r>
      <t xml:space="preserve">die hat gemeint sie muss den Kühlschrank </t>
    </r>
    <r>
      <rPr>
        <sz val="11"/>
        <color rgb="FFFF0000"/>
        <rFont val="Calibri"/>
        <family val="2"/>
        <scheme val="minor"/>
      </rPr>
      <t>ahm</t>
    </r>
    <r>
      <rPr>
        <sz val="11"/>
        <color theme="1"/>
        <rFont val="Calibri"/>
        <family val="2"/>
        <scheme val="minor"/>
      </rPr>
      <t xml:space="preserve"> enteisen und dass über Nacht</t>
    </r>
  </si>
  <si>
    <t>dass = das</t>
  </si>
  <si>
    <t>active speech</t>
  </si>
  <si>
    <r>
      <t xml:space="preserve">kennst du den Spielplatz neben dem Markt in Eggenberg </t>
    </r>
    <r>
      <rPr>
        <sz val="11"/>
        <color rgb="FFFF0000"/>
        <rFont val="Calibri"/>
        <family val="2"/>
        <scheme val="minor"/>
      </rPr>
      <t>ähm</t>
    </r>
    <r>
      <rPr>
        <sz val="11"/>
        <color theme="1"/>
        <rFont val="Calibri"/>
        <family val="2"/>
        <scheme val="minor"/>
      </rPr>
      <t xml:space="preserve"> oder wo warte einmal wo die Sparkasse ist</t>
    </r>
  </si>
  <si>
    <t>weil die Verwandten vom Hannes ähm seinen Onkel habe ich auch einmal kennen gelernt</t>
  </si>
  <si>
    <r>
      <t xml:space="preserve">das wird einfach aufgehalten und dadurch </t>
    </r>
    <r>
      <rPr>
        <sz val="11"/>
        <color rgb="FFFF0000"/>
        <rFont val="Calibri"/>
        <family val="2"/>
        <scheme val="minor"/>
      </rPr>
      <t>ahm</t>
    </r>
    <r>
      <rPr>
        <sz val="11"/>
        <color theme="1"/>
        <rFont val="Calibri"/>
        <family val="2"/>
        <scheme val="minor"/>
      </rPr>
      <t xml:space="preserve"> sinkt das Flussbett immer weiter ab</t>
    </r>
  </si>
  <si>
    <r>
      <t xml:space="preserve">das ist immer so mit diese ganzen </t>
    </r>
    <r>
      <rPr>
        <sz val="11"/>
        <color rgb="FFFF0000"/>
        <rFont val="Calibri"/>
        <family val="2"/>
        <scheme val="minor"/>
      </rPr>
      <t>ahm</t>
    </r>
    <r>
      <rPr>
        <sz val="11"/>
        <color theme="1"/>
        <rFont val="Calibri"/>
        <family val="2"/>
        <scheme val="minor"/>
      </rPr>
      <t xml:space="preserve"> Energie Quellen die halt umweltfreundlich sind</t>
    </r>
  </si>
  <si>
    <r>
      <t xml:space="preserve">und dann </t>
    </r>
    <r>
      <rPr>
        <sz val="11"/>
        <color rgb="FFFF0000"/>
        <rFont val="Calibri"/>
        <family val="2"/>
        <scheme val="minor"/>
      </rPr>
      <t>ähm</t>
    </r>
    <r>
      <rPr>
        <sz val="11"/>
        <color theme="1"/>
        <rFont val="Calibri"/>
        <family val="2"/>
        <scheme val="minor"/>
      </rPr>
      <t xml:space="preserve"> zu Hause also jetzt ist vor allem zum Beispiel dass ich Übungen mache</t>
    </r>
  </si>
  <si>
    <r>
      <t xml:space="preserve">also jetzt sind halt </t>
    </r>
    <r>
      <rPr>
        <sz val="11"/>
        <color rgb="FFFF0000"/>
        <rFont val="Calibri"/>
        <family val="2"/>
        <scheme val="minor"/>
      </rPr>
      <t>äh</t>
    </r>
    <r>
      <rPr>
        <sz val="11"/>
        <color theme="1"/>
        <rFont val="Calibri"/>
        <family val="2"/>
        <scheme val="minor"/>
      </rPr>
      <t xml:space="preserve"> keine Ahnung von den sechs Monaten</t>
    </r>
  </si>
  <si>
    <r>
      <t xml:space="preserve">dann laufe ich von mir weg laufe bis zur </t>
    </r>
    <r>
      <rPr>
        <sz val="11"/>
        <color rgb="FFFF0000"/>
        <rFont val="Calibri"/>
        <family val="2"/>
        <scheme val="minor"/>
      </rPr>
      <t>äh</t>
    </r>
    <r>
      <rPr>
        <sz val="11"/>
        <color theme="1"/>
        <rFont val="Calibri"/>
        <family val="2"/>
        <scheme val="minor"/>
      </rPr>
      <t xml:space="preserve"> Gebietskrankenkasse weißt wo die ist</t>
    </r>
  </si>
  <si>
    <r>
      <t xml:space="preserve">ja ich habe </t>
    </r>
    <r>
      <rPr>
        <sz val="11"/>
        <color rgb="FFFF0000"/>
        <rFont val="Calibri"/>
        <family val="2"/>
        <scheme val="minor"/>
      </rPr>
      <t xml:space="preserve">ähm </t>
    </r>
    <r>
      <rPr>
        <sz val="11"/>
        <color theme="1"/>
        <rFont val="Calibri"/>
        <family val="2"/>
        <scheme val="minor"/>
      </rPr>
      <t>am Samstag haben wir noch Gäste</t>
    </r>
  </si>
  <si>
    <r>
      <t xml:space="preserve">da musst du wahrscheinlich </t>
    </r>
    <r>
      <rPr>
        <sz val="11"/>
        <color rgb="FFFF0000"/>
        <rFont val="Calibri"/>
        <family val="2"/>
        <scheme val="minor"/>
      </rPr>
      <t>ahm</t>
    </r>
    <r>
      <rPr>
        <sz val="11"/>
        <color theme="1"/>
        <rFont val="Calibri"/>
        <family val="2"/>
        <scheme val="minor"/>
      </rPr>
      <t xml:space="preserve"> ob_du da jetzt so eine Art Eintrittsgebühr zahlst</t>
    </r>
  </si>
  <si>
    <r>
      <t xml:space="preserve">das ist eine andere Geschichte </t>
    </r>
    <r>
      <rPr>
        <sz val="11"/>
        <color rgb="FFFF0000"/>
        <rFont val="Calibri"/>
        <family val="2"/>
        <scheme val="minor"/>
      </rPr>
      <t>ahm</t>
    </r>
    <r>
      <rPr>
        <sz val="11"/>
        <color theme="1"/>
        <rFont val="Calibri"/>
        <family val="2"/>
        <scheme val="minor"/>
      </rPr>
      <t xml:space="preserve"> und er ist sechsundachtzig</t>
    </r>
  </si>
  <si>
    <r>
      <t xml:space="preserve">hast du das auch g </t>
    </r>
    <r>
      <rPr>
        <sz val="11"/>
        <color rgb="FFFF0000"/>
        <rFont val="Calibri"/>
        <family val="2"/>
        <scheme val="minor"/>
      </rPr>
      <t>äh</t>
    </r>
    <r>
      <rPr>
        <sz val="11"/>
        <color theme="1"/>
        <rFont val="Calibri"/>
        <family val="2"/>
        <scheme val="minor"/>
      </rPr>
      <t xml:space="preserve"> die Erfahrung ?</t>
    </r>
  </si>
  <si>
    <r>
      <t xml:space="preserve">ist es </t>
    </r>
    <r>
      <rPr>
        <sz val="11"/>
        <color rgb="FFFF0000"/>
        <rFont val="Calibri"/>
        <family val="2"/>
        <scheme val="minor"/>
      </rPr>
      <t xml:space="preserve">äh </t>
    </r>
    <r>
      <rPr>
        <sz val="11"/>
        <color theme="1"/>
        <rFont val="Calibri"/>
        <family val="2"/>
        <scheme val="minor"/>
      </rPr>
      <t>eingefroren oder was</t>
    </r>
  </si>
  <si>
    <t>Gebietskrankenkasse</t>
  </si>
  <si>
    <r>
      <t xml:space="preserve">dann fragst dich halt wieder </t>
    </r>
    <r>
      <rPr>
        <sz val="11"/>
        <color rgb="FFFF0000"/>
        <rFont val="Calibri"/>
        <family val="2"/>
        <scheme val="minor"/>
      </rPr>
      <t xml:space="preserve">ähm </t>
    </r>
    <r>
      <rPr>
        <sz val="11"/>
        <color theme="1"/>
        <rFont val="Calibri"/>
        <family val="2"/>
        <scheme val="minor"/>
      </rPr>
      <t>wie schonend ist halt diese Gewinnung für die Natur</t>
    </r>
  </si>
  <si>
    <t>1 or 4</t>
  </si>
  <si>
    <r>
      <t xml:space="preserve">ich war ja in Frankreich </t>
    </r>
    <r>
      <rPr>
        <sz val="11"/>
        <color rgb="FFFF0000"/>
        <rFont val="Calibri"/>
        <family val="2"/>
        <scheme val="minor"/>
      </rPr>
      <t>ähm</t>
    </r>
    <r>
      <rPr>
        <sz val="11"/>
        <color theme="1"/>
        <rFont val="Calibri"/>
        <family val="2"/>
        <scheme val="minor"/>
      </rPr>
      <t xml:space="preserve"> ein halbes Jahr lang</t>
    </r>
  </si>
  <si>
    <r>
      <t xml:space="preserve">weil da hat es diesen riesengroßen </t>
    </r>
    <r>
      <rPr>
        <sz val="11"/>
        <color rgb="FFFF0000"/>
        <rFont val="Calibri"/>
        <family val="2"/>
        <scheme val="minor"/>
      </rPr>
      <t>äh</t>
    </r>
    <r>
      <rPr>
        <sz val="11"/>
        <color theme="1"/>
        <rFont val="Calibri"/>
        <family val="2"/>
        <scheme val="minor"/>
      </rPr>
      <t xml:space="preserve"> Supermarkt gegeben</t>
    </r>
  </si>
  <si>
    <r>
      <t xml:space="preserve">ich weiß nur die sind </t>
    </r>
    <r>
      <rPr>
        <sz val="11"/>
        <color rgb="FFFF0000"/>
        <rFont val="Calibri"/>
        <family val="2"/>
        <scheme val="minor"/>
      </rPr>
      <t>ähm</t>
    </r>
    <r>
      <rPr>
        <sz val="11"/>
        <color theme="1"/>
        <rFont val="Calibri"/>
        <family val="2"/>
        <scheme val="minor"/>
      </rPr>
      <t xml:space="preserve"> also die haben sie dann in das Spital geschickt</t>
    </r>
  </si>
  <si>
    <r>
      <t xml:space="preserve">also Kunst Uni oder auch Salzburg </t>
    </r>
    <r>
      <rPr>
        <sz val="11"/>
        <color rgb="FFFF0000"/>
        <rFont val="Calibri"/>
        <family val="2"/>
        <scheme val="minor"/>
      </rPr>
      <t xml:space="preserve">ahm </t>
    </r>
    <r>
      <rPr>
        <sz val="11"/>
        <color theme="1"/>
        <rFont val="Calibri"/>
        <family val="2"/>
        <scheme val="minor"/>
      </rPr>
      <t>und irgendwie wollte er das aber doch nicht</t>
    </r>
  </si>
  <si>
    <r>
      <t xml:space="preserve">du sitzt da in deinem Viersternhotel oder was </t>
    </r>
    <r>
      <rPr>
        <sz val="11"/>
        <color rgb="FFFF0000"/>
        <rFont val="Calibri"/>
        <family val="2"/>
        <scheme val="minor"/>
      </rPr>
      <t xml:space="preserve">ahm </t>
    </r>
    <r>
      <rPr>
        <sz val="11"/>
        <color theme="1"/>
        <rFont val="Calibri"/>
        <family val="2"/>
        <scheme val="minor"/>
      </rPr>
      <t>und du kannst nichts machen</t>
    </r>
  </si>
  <si>
    <r>
      <t xml:space="preserve"> damit sie nicht </t>
    </r>
    <r>
      <rPr>
        <sz val="11"/>
        <color rgb="FFFF0000"/>
        <rFont val="Calibri"/>
        <family val="2"/>
        <scheme val="minor"/>
      </rPr>
      <t>äh</t>
    </r>
    <r>
      <rPr>
        <sz val="11"/>
        <color theme="1"/>
        <rFont val="Calibri"/>
        <family val="2"/>
        <scheme val="minor"/>
      </rPr>
      <t xml:space="preserve"> die Kinder müssen ankreuzen welche Übung das sie machen müssen</t>
    </r>
  </si>
  <si>
    <r>
      <t xml:space="preserve">das ist für mich egal </t>
    </r>
    <r>
      <rPr>
        <sz val="11"/>
        <color rgb="FFFF0000"/>
        <rFont val="Calibri"/>
        <family val="2"/>
        <scheme val="minor"/>
      </rPr>
      <t>ahm</t>
    </r>
    <r>
      <rPr>
        <sz val="11"/>
        <color theme="1"/>
        <rFont val="Calibri"/>
        <family val="2"/>
        <scheme val="minor"/>
      </rPr>
      <t xml:space="preserve"> hm es gibt halt auf dem Institut eine Gruppe</t>
    </r>
  </si>
  <si>
    <t>hm rausscheiden</t>
  </si>
  <si>
    <r>
      <t xml:space="preserve">wenn_du in einem höheren Pulsbereich trainierst </t>
    </r>
    <r>
      <rPr>
        <sz val="11"/>
        <color rgb="FFFF0000"/>
        <rFont val="Calibri"/>
        <family val="2"/>
        <scheme val="minor"/>
      </rPr>
      <t>ähm</t>
    </r>
    <r>
      <rPr>
        <sz val="11"/>
        <color theme="1"/>
        <rFont val="Calibri"/>
        <family val="2"/>
        <scheme val="minor"/>
      </rPr>
      <t xml:space="preserve"> dann trainierst eher zum Beispiel Sprint</t>
    </r>
  </si>
  <si>
    <r>
      <t xml:space="preserve">dann trainierst eher zum Beispiel Sprint </t>
    </r>
    <r>
      <rPr>
        <sz val="11"/>
        <color rgb="FFFF0000"/>
        <rFont val="Calibri"/>
        <family val="2"/>
        <scheme val="minor"/>
      </rPr>
      <t>äh</t>
    </r>
    <r>
      <rPr>
        <sz val="11"/>
        <color theme="1"/>
        <rFont val="Calibri"/>
        <family val="2"/>
        <scheme val="minor"/>
      </rPr>
      <t xml:space="preserve"> stärker also du trainierst die Muskeln auf unterschiedliche Weise</t>
    </r>
  </si>
  <si>
    <r>
      <t xml:space="preserve">die längste Zeit herum getan weil die </t>
    </r>
    <r>
      <rPr>
        <sz val="11"/>
        <color rgb="FFFF0000"/>
        <rFont val="Calibri"/>
        <family val="2"/>
        <scheme val="minor"/>
      </rPr>
      <t>äh</t>
    </r>
    <r>
      <rPr>
        <sz val="11"/>
        <color theme="1"/>
        <rFont val="Calibri"/>
        <family val="2"/>
        <scheme val="minor"/>
      </rPr>
      <t xml:space="preserve"> Ursula hat sich nicht gerührt</t>
    </r>
  </si>
  <si>
    <r>
      <t xml:space="preserve">weißt du wie der nächste Zug dann </t>
    </r>
    <r>
      <rPr>
        <sz val="11"/>
        <color rgb="FFFF0000"/>
        <rFont val="Calibri"/>
        <family val="2"/>
        <scheme val="minor"/>
      </rPr>
      <t>äh</t>
    </r>
    <r>
      <rPr>
        <sz val="11"/>
        <color theme="1"/>
        <rFont val="Calibri"/>
        <family val="2"/>
        <scheme val="minor"/>
      </rPr>
      <t xml:space="preserve"> der letzte Zug fährt</t>
    </r>
  </si>
  <si>
    <t>384, 369</t>
  </si>
  <si>
    <t>369, 370</t>
  </si>
  <si>
    <t>384, 370</t>
  </si>
  <si>
    <r>
      <t xml:space="preserve">und sie ist halt am Standpunkt </t>
    </r>
    <r>
      <rPr>
        <sz val="11"/>
        <color rgb="FFFF0000"/>
        <rFont val="Calibri"/>
        <family val="2"/>
        <scheme val="minor"/>
      </rPr>
      <t>äh</t>
    </r>
    <r>
      <rPr>
        <sz val="11"/>
        <color theme="1"/>
        <rFont val="Calibri"/>
        <family val="2"/>
        <scheme val="minor"/>
      </rPr>
      <t xml:space="preserve"> sie versucht in ihrem kleinen Bereich</t>
    </r>
  </si>
  <si>
    <r>
      <t xml:space="preserve">was ich heute gemacht habe </t>
    </r>
    <r>
      <rPr>
        <sz val="11"/>
        <color rgb="FFFF0000"/>
        <rFont val="Calibri"/>
        <family val="2"/>
        <scheme val="minor"/>
      </rPr>
      <t>äh</t>
    </r>
    <r>
      <rPr>
        <sz val="11"/>
        <color theme="1"/>
        <rFont val="Calibri"/>
        <family val="2"/>
        <scheme val="minor"/>
      </rPr>
      <t xml:space="preserve"> meine Seminararbeiten habe ich heute angeschaut</t>
    </r>
  </si>
  <si>
    <t>cut before Moräne</t>
  </si>
  <si>
    <t>337, 267, 269</t>
  </si>
  <si>
    <t>337, 267, 268</t>
  </si>
  <si>
    <t>337, 268, 269</t>
  </si>
  <si>
    <t>267, 268, 269</t>
  </si>
  <si>
    <r>
      <t xml:space="preserve">ja du kannst sie schon </t>
    </r>
    <r>
      <rPr>
        <sz val="11"/>
        <color rgb="FFFF0000"/>
        <rFont val="Calibri"/>
        <family val="2"/>
        <scheme val="minor"/>
      </rPr>
      <t>ähm</t>
    </r>
    <r>
      <rPr>
        <sz val="11"/>
        <color theme="1"/>
        <rFont val="Calibri"/>
        <family val="2"/>
        <scheme val="minor"/>
      </rPr>
      <t xml:space="preserve"> braten auch aber eigentlich isst man sie roh</t>
    </r>
  </si>
  <si>
    <r>
      <t xml:space="preserve">und sie gewinnt eigentlich nur #eines oder #zwei </t>
    </r>
    <r>
      <rPr>
        <sz val="11"/>
        <color rgb="FFFF0000"/>
        <rFont val="Calibri"/>
        <family val="2"/>
        <scheme val="minor"/>
      </rPr>
      <t>ahm</t>
    </r>
    <r>
      <rPr>
        <sz val="11"/>
        <color theme="1"/>
        <rFont val="Calibri"/>
        <family val="2"/>
        <scheme val="minor"/>
      </rPr>
      <t xml:space="preserve"> dann verliert sie pro Mal eigentlich mehr</t>
    </r>
  </si>
  <si>
    <r>
      <t xml:space="preserve">die gehen unter das </t>
    </r>
    <r>
      <rPr>
        <sz val="11"/>
        <color rgb="FFFF0000"/>
        <rFont val="Calibri"/>
        <family val="2"/>
        <scheme val="minor"/>
      </rPr>
      <t>ahm</t>
    </r>
    <r>
      <rPr>
        <sz val="11"/>
        <color theme="1"/>
        <rFont val="Calibri"/>
        <family val="2"/>
        <scheme val="minor"/>
      </rPr>
      <t xml:space="preserve"> Schlafzimmer rein</t>
    </r>
  </si>
  <si>
    <t>372, 373</t>
  </si>
  <si>
    <t>371, 373</t>
  </si>
  <si>
    <t>371, 372</t>
  </si>
  <si>
    <r>
      <t xml:space="preserve">ich weiß es nicht </t>
    </r>
    <r>
      <rPr>
        <sz val="11"/>
        <color rgb="FFFF0000"/>
        <rFont val="Calibri"/>
        <family val="2"/>
        <scheme val="minor"/>
      </rPr>
      <t>ahm</t>
    </r>
    <r>
      <rPr>
        <sz val="11"/>
        <color theme="1"/>
        <rFont val="Calibri"/>
        <family val="2"/>
        <scheme val="minor"/>
      </rPr>
      <t>, was ich nicht leiden kann</t>
    </r>
  </si>
  <si>
    <r>
      <t xml:space="preserve">sie haben ein #zwei mal schon einen Haialarm gehabt </t>
    </r>
    <r>
      <rPr>
        <sz val="11"/>
        <color rgb="FFFF0000"/>
        <rFont val="Calibri"/>
        <family val="2"/>
        <scheme val="minor"/>
      </rPr>
      <t>ahm</t>
    </r>
    <r>
      <rPr>
        <sz val="11"/>
        <color theme="1"/>
        <rFont val="Calibri"/>
        <family val="2"/>
        <scheme val="minor"/>
      </rPr>
      <t xml:space="preserve"> wo alle panisch aus_dem Wasser gerannt sind</t>
    </r>
  </si>
  <si>
    <t>318, 338</t>
  </si>
  <si>
    <t>271, 338</t>
  </si>
  <si>
    <t>271, 318</t>
  </si>
  <si>
    <r>
      <t xml:space="preserve">das tue ich sicher nie wieder also </t>
    </r>
    <r>
      <rPr>
        <sz val="11"/>
        <color rgb="FFFF0000"/>
        <rFont val="Calibri"/>
        <family val="2"/>
        <scheme val="minor"/>
      </rPr>
      <t>äh</t>
    </r>
    <r>
      <rPr>
        <sz val="11"/>
        <color theme="1"/>
        <rFont val="Calibri"/>
        <family val="2"/>
        <scheme val="minor"/>
      </rPr>
      <t xml:space="preserve"> man muss mindestens #zwei Tage dranhängen</t>
    </r>
  </si>
  <si>
    <r>
      <t xml:space="preserve">und der war wirklich </t>
    </r>
    <r>
      <rPr>
        <sz val="11"/>
        <color rgb="FFFF0000"/>
        <rFont val="Calibri"/>
        <family val="2"/>
        <scheme val="minor"/>
      </rPr>
      <t>äh</t>
    </r>
    <r>
      <rPr>
        <sz val="11"/>
        <color theme="1"/>
        <rFont val="Calibri"/>
        <family val="2"/>
        <scheme val="minor"/>
      </rPr>
      <t xml:space="preserve"> sehr nett eigentlich</t>
    </r>
  </si>
  <si>
    <t>Wertdokumente = Word-Dokumente</t>
  </si>
  <si>
    <t>320, 339</t>
  </si>
  <si>
    <t>319, 339</t>
  </si>
  <si>
    <t>319, 320</t>
  </si>
  <si>
    <r>
      <t xml:space="preserve">wir haben in so einer &lt;&amp;b&gt;kl </t>
    </r>
    <r>
      <rPr>
        <sz val="11"/>
        <color rgb="FFFF0000"/>
        <rFont val="Calibri"/>
        <family val="2"/>
        <scheme val="minor"/>
      </rPr>
      <t>ahm</t>
    </r>
    <r>
      <rPr>
        <sz val="11"/>
        <color theme="1"/>
        <rFont val="Calibri"/>
        <family val="2"/>
        <scheme val="minor"/>
      </rPr>
      <t xml:space="preserve"> also ich habe ja nicht in Bregenz</t>
    </r>
  </si>
  <si>
    <r>
      <t xml:space="preserve">das ist ein ziemlich großer Saal den man </t>
    </r>
    <r>
      <rPr>
        <sz val="11"/>
        <color rgb="FFFF0000"/>
        <rFont val="Calibri"/>
        <family val="2"/>
        <scheme val="minor"/>
      </rPr>
      <t>ah</t>
    </r>
    <r>
      <rPr>
        <sz val="11"/>
        <color theme="1"/>
        <rFont val="Calibri"/>
        <family val="2"/>
        <scheme val="minor"/>
      </rPr>
      <t xml:space="preserve"> für Veranstaltungen eben buchen kann</t>
    </r>
  </si>
  <si>
    <t>ah, need more</t>
  </si>
  <si>
    <t>peronal information</t>
  </si>
  <si>
    <r>
      <t xml:space="preserve">das ist dieses </t>
    </r>
    <r>
      <rPr>
        <sz val="11"/>
        <color rgb="FFFF0000"/>
        <rFont val="Calibri"/>
        <family val="2"/>
        <scheme val="minor"/>
      </rPr>
      <t xml:space="preserve">äh </t>
    </r>
    <r>
      <rPr>
        <sz val="11"/>
        <color theme="1"/>
        <rFont val="Calibri"/>
        <family val="2"/>
        <scheme val="minor"/>
      </rPr>
      <t>sie ist ein Schreibcoach sie hat das Buch halt geschrieben</t>
    </r>
  </si>
  <si>
    <r>
      <t xml:space="preserve">jeder Maturant ist </t>
    </r>
    <r>
      <rPr>
        <sz val="11"/>
        <color rgb="FFFF0000"/>
        <rFont val="Calibri"/>
        <family val="2"/>
        <scheme val="minor"/>
      </rPr>
      <t>ähm</t>
    </r>
    <r>
      <rPr>
        <sz val="11"/>
        <color theme="1"/>
        <rFont val="Calibri"/>
        <family val="2"/>
        <scheme val="minor"/>
      </rPr>
      <t xml:space="preserve"> ausgestiegen nachher mit #sechshundert Euro</t>
    </r>
  </si>
  <si>
    <r>
      <t xml:space="preserve">ja aber wenn ich jetzt </t>
    </r>
    <r>
      <rPr>
        <sz val="11"/>
        <color rgb="FFFF0000"/>
        <rFont val="Calibri"/>
        <family val="2"/>
        <scheme val="minor"/>
      </rPr>
      <t>äh</t>
    </r>
    <r>
      <rPr>
        <sz val="11"/>
        <color theme="1"/>
        <rFont val="Calibri"/>
        <family val="2"/>
        <scheme val="minor"/>
      </rPr>
      <t xml:space="preserve"> die ganze Wand lieber in einem zarten Creme</t>
    </r>
  </si>
  <si>
    <t>ahm = und</t>
  </si>
  <si>
    <r>
      <t xml:space="preserve">da sind </t>
    </r>
    <r>
      <rPr>
        <sz val="11"/>
        <color rgb="FFFF0000"/>
        <rFont val="Calibri"/>
        <family val="2"/>
        <scheme val="minor"/>
      </rPr>
      <t>ahm</t>
    </r>
    <r>
      <rPr>
        <sz val="11"/>
        <color theme="1"/>
        <rFont val="Calibri"/>
        <family val="2"/>
        <scheme val="minor"/>
      </rPr>
      <t xml:space="preserve"> ja nicht einmal #acht Euro pro Monat</t>
    </r>
  </si>
  <si>
    <r>
      <t xml:space="preserve">dass wir dann halt </t>
    </r>
    <r>
      <rPr>
        <sz val="11"/>
        <color rgb="FFFF0000"/>
        <rFont val="Calibri"/>
        <family val="2"/>
        <scheme val="minor"/>
      </rPr>
      <t>ahm</t>
    </r>
    <r>
      <rPr>
        <sz val="11"/>
        <color theme="1"/>
        <rFont val="Calibri"/>
        <family val="2"/>
        <scheme val="minor"/>
      </rPr>
      <t xml:space="preserve"> teilweise Sonntag noch vor_dem Haus geparkt haben</t>
    </r>
  </si>
  <si>
    <r>
      <t xml:space="preserve">die hat auch </t>
    </r>
    <r>
      <rPr>
        <sz val="11"/>
        <color rgb="FFFF0000"/>
        <rFont val="Calibri"/>
        <family val="2"/>
        <scheme val="minor"/>
      </rPr>
      <t>ah</t>
    </r>
    <r>
      <rPr>
        <sz val="11"/>
        <color theme="1"/>
        <rFont val="Calibri"/>
        <family val="2"/>
        <scheme val="minor"/>
      </rPr>
      <t xml:space="preserve"> ein paar Exemplare dieser Gattung gehabt</t>
    </r>
  </si>
  <si>
    <t>ah</t>
  </si>
  <si>
    <r>
      <t>ich fahre durch München und dann</t>
    </r>
    <r>
      <rPr>
        <sz val="11"/>
        <color rgb="FFFF0000"/>
        <rFont val="Calibri"/>
        <family val="2"/>
        <scheme val="minor"/>
      </rPr>
      <t xml:space="preserve"> äh</t>
    </r>
    <r>
      <rPr>
        <sz val="11"/>
        <color theme="1"/>
        <rFont val="Calibri"/>
        <family val="2"/>
        <scheme val="minor"/>
      </rPr>
      <t xml:space="preserve"> von München Richtung Stuttgart</t>
    </r>
  </si>
  <si>
    <r>
      <t xml:space="preserve">weil zum Beispiel </t>
    </r>
    <r>
      <rPr>
        <sz val="11"/>
        <color rgb="FFFF0000"/>
        <rFont val="Calibri"/>
        <family val="2"/>
        <scheme val="minor"/>
      </rPr>
      <t>ahm</t>
    </r>
    <r>
      <rPr>
        <sz val="11"/>
        <color theme="1"/>
        <rFont val="Calibri"/>
        <family val="2"/>
        <scheme val="minor"/>
      </rPr>
      <t xml:space="preserve"> wenn ich bei einer Prüfung sitze </t>
    </r>
  </si>
  <si>
    <t>287, 288, 347</t>
  </si>
  <si>
    <t>287, 288, 330</t>
  </si>
  <si>
    <t>287, 347, 330</t>
  </si>
  <si>
    <t>288, 347, 330</t>
  </si>
  <si>
    <r>
      <t xml:space="preserve">weil das ist </t>
    </r>
    <r>
      <rPr>
        <sz val="11"/>
        <color rgb="FFFF0000"/>
        <rFont val="Calibri"/>
        <family val="2"/>
        <scheme val="minor"/>
      </rPr>
      <t>ähm</t>
    </r>
    <r>
      <rPr>
        <sz val="11"/>
        <color theme="1"/>
        <rFont val="Calibri"/>
        <family val="2"/>
        <scheme val="minor"/>
      </rPr>
      <t xml:space="preserve"> die fahren dich nämlich ganz rauf[ runterrodeln ]</t>
    </r>
  </si>
  <si>
    <t>331, 348</t>
  </si>
  <si>
    <t>290, 348</t>
  </si>
  <si>
    <t>290, 331</t>
  </si>
  <si>
    <t>Gerät kriegst die ge die äh bringen die Luftballons gleich mit</t>
  </si>
  <si>
    <r>
      <t xml:space="preserve">das können wir auch nicht mehr sehen </t>
    </r>
    <r>
      <rPr>
        <sz val="11"/>
        <color rgb="FFFF0000"/>
        <rFont val="Calibri"/>
        <family val="2"/>
        <scheme val="minor"/>
      </rPr>
      <t>ahm</t>
    </r>
    <r>
      <rPr>
        <sz val="11"/>
        <color theme="1"/>
        <rFont val="Calibri"/>
        <family val="2"/>
        <scheme val="minor"/>
      </rPr>
      <t xml:space="preserve"> aber eine Biene zum Beispiel schon noch</t>
    </r>
  </si>
  <si>
    <r>
      <t xml:space="preserve">dann habe ich zum Gernot gesagt meinem Bruder du </t>
    </r>
    <r>
      <rPr>
        <sz val="11"/>
        <color rgb="FFFF0000"/>
        <rFont val="Calibri"/>
        <family val="2"/>
        <scheme val="minor"/>
      </rPr>
      <t>ahm</t>
    </r>
    <r>
      <rPr>
        <sz val="11"/>
        <color theme="1"/>
        <rFont val="Calibri"/>
        <family val="2"/>
        <scheme val="minor"/>
      </rPr>
      <t xml:space="preserve"> könntest das eigentlich abmelden</t>
    </r>
  </si>
  <si>
    <r>
      <t xml:space="preserve">wie wenn_du sagst </t>
    </r>
    <r>
      <rPr>
        <sz val="11"/>
        <color rgb="FFFF0000"/>
        <rFont val="Calibri"/>
        <family val="2"/>
        <scheme val="minor"/>
      </rPr>
      <t>ähm</t>
    </r>
    <r>
      <rPr>
        <sz val="11"/>
        <color theme="1"/>
        <rFont val="Calibri"/>
        <family val="2"/>
        <scheme val="minor"/>
      </rPr>
      <t xml:space="preserve"> wie geht es mit Rom schlüpft aus dem Ei ?</t>
    </r>
  </si>
  <si>
    <t>wir sagen = wir sind</t>
  </si>
  <si>
    <r>
      <t xml:space="preserve">die sind nämlich bei unserem Dings </t>
    </r>
    <r>
      <rPr>
        <sz val="11"/>
        <color rgb="FFFF0000"/>
        <rFont val="Calibri"/>
        <family val="2"/>
        <scheme val="minor"/>
      </rPr>
      <t>ähm</t>
    </r>
    <r>
      <rPr>
        <sz val="11"/>
        <color theme="1"/>
        <rFont val="Calibri"/>
        <family val="2"/>
        <scheme val="minor"/>
      </rPr>
      <t xml:space="preserve"> wir sagen damals wie die Mutter</t>
    </r>
  </si>
  <si>
    <r>
      <t xml:space="preserve">keine &lt;*ENG&gt;McDonald's &lt;*ENG&gt;Burger </t>
    </r>
    <r>
      <rPr>
        <sz val="11"/>
        <color rgb="FFFF0000"/>
        <rFont val="Calibri"/>
        <family val="2"/>
        <scheme val="minor"/>
      </rPr>
      <t>ahm</t>
    </r>
    <r>
      <rPr>
        <sz val="11"/>
        <color theme="1"/>
        <rFont val="Calibri"/>
        <family val="2"/>
        <scheme val="minor"/>
      </rPr>
      <t xml:space="preserve"> dann müsstest du das rausfinden ob das was wird ne</t>
    </r>
  </si>
  <si>
    <r>
      <t xml:space="preserve">du merkst es halt </t>
    </r>
    <r>
      <rPr>
        <sz val="11"/>
        <color rgb="FFFF0000"/>
        <rFont val="Calibri"/>
        <family val="2"/>
        <scheme val="minor"/>
      </rPr>
      <t>ahm</t>
    </r>
    <r>
      <rPr>
        <sz val="11"/>
        <color theme="1"/>
        <rFont val="Calibri"/>
        <family val="2"/>
        <scheme val="minor"/>
      </rPr>
      <t xml:space="preserve"> ob jetzt ein gewisser Stilbruch da ist</t>
    </r>
  </si>
  <si>
    <r>
      <t xml:space="preserve">#zwei muss ich noch anschauen weil </t>
    </r>
    <r>
      <rPr>
        <sz val="11"/>
        <color rgb="FFFF0000"/>
        <rFont val="Calibri"/>
        <family val="2"/>
        <scheme val="minor"/>
      </rPr>
      <t>ähm</t>
    </r>
    <r>
      <rPr>
        <sz val="11"/>
        <color theme="1"/>
        <rFont val="Calibri"/>
        <family val="2"/>
        <scheme val="minor"/>
      </rPr>
      <t xml:space="preserve"> wenn sie zu nah am Originaltext sind</t>
    </r>
  </si>
  <si>
    <r>
      <t xml:space="preserve">du darfst aber nie </t>
    </r>
    <r>
      <rPr>
        <sz val="11"/>
        <color rgb="FFFF0000"/>
        <rFont val="Calibri"/>
        <family val="2"/>
        <scheme val="minor"/>
      </rPr>
      <t>ähm</t>
    </r>
    <r>
      <rPr>
        <sz val="11"/>
        <color theme="1"/>
        <rFont val="Calibri"/>
        <family val="2"/>
        <scheme val="minor"/>
      </rPr>
      <t xml:space="preserve"> eine größere Scheibe auf eine kleinere legen</t>
    </r>
  </si>
  <si>
    <r>
      <t xml:space="preserve">ja der hat </t>
    </r>
    <r>
      <rPr>
        <sz val="11"/>
        <color rgb="FFFF0000"/>
        <rFont val="Calibri"/>
        <family val="2"/>
        <scheme val="minor"/>
      </rPr>
      <t>ahm</t>
    </r>
    <r>
      <rPr>
        <sz val="11"/>
        <color theme="1"/>
        <rFont val="Calibri"/>
        <family val="2"/>
        <scheme val="minor"/>
      </rPr>
      <t xml:space="preserve"> #hundertsechzig Kilo oder so abgenommen</t>
    </r>
  </si>
  <si>
    <t>laughter rausschneiden</t>
  </si>
  <si>
    <r>
      <t xml:space="preserve">weil ich gerade da diesen Strand sehe </t>
    </r>
    <r>
      <rPr>
        <sz val="11"/>
        <color rgb="FFFF0000"/>
        <rFont val="Calibri"/>
        <family val="2"/>
        <scheme val="minor"/>
      </rPr>
      <t>ähm</t>
    </r>
    <r>
      <rPr>
        <sz val="11"/>
        <color theme="1"/>
        <rFont val="Calibri"/>
        <family val="2"/>
        <scheme val="minor"/>
      </rPr>
      <t xml:space="preserve"> nächste Woche fahren fast alle auf Urlaub ge</t>
    </r>
  </si>
  <si>
    <t>wer = ja</t>
  </si>
  <si>
    <t>erstes ahm = am?</t>
  </si>
  <si>
    <t>äh = die?</t>
  </si>
  <si>
    <r>
      <t xml:space="preserve">das hat nämlich </t>
    </r>
    <r>
      <rPr>
        <sz val="11"/>
        <color rgb="FFFF0000"/>
        <rFont val="Calibri"/>
        <family val="2"/>
        <scheme val="minor"/>
      </rPr>
      <t>äh</t>
    </r>
    <r>
      <rPr>
        <sz val="11"/>
        <color theme="1"/>
        <rFont val="Calibri"/>
        <family val="2"/>
        <scheme val="minor"/>
      </rPr>
      <t xml:space="preserve"> eigentlich nicht wirklich wild geschneit</t>
    </r>
  </si>
  <si>
    <t>pause und aber da weg</t>
  </si>
  <si>
    <r>
      <t xml:space="preserve">das war ganz witzig aber da </t>
    </r>
    <r>
      <rPr>
        <sz val="11"/>
        <color rgb="FFFF0000"/>
        <rFont val="Calibri"/>
        <family val="2"/>
        <scheme val="minor"/>
      </rPr>
      <t xml:space="preserve">ahm </t>
    </r>
    <r>
      <rPr>
        <sz val="11"/>
        <color theme="1"/>
        <rFont val="Calibri"/>
        <family val="2"/>
        <scheme val="minor"/>
      </rPr>
      <t>ja ich weiß nicht</t>
    </r>
  </si>
  <si>
    <t>also raus</t>
  </si>
  <si>
    <r>
      <t xml:space="preserve">so hellgrau zum Beispiel </t>
    </r>
    <r>
      <rPr>
        <sz val="11"/>
        <color rgb="FFFF0000"/>
        <rFont val="Calibri"/>
        <family val="2"/>
        <scheme val="minor"/>
      </rPr>
      <t>ähm</t>
    </r>
    <r>
      <rPr>
        <sz val="11"/>
        <color theme="1"/>
        <rFont val="Calibri"/>
        <family val="2"/>
        <scheme val="minor"/>
      </rPr>
      <t xml:space="preserve"> oder blau ist voll gut</t>
    </r>
  </si>
  <si>
    <t>aber?</t>
  </si>
  <si>
    <r>
      <t xml:space="preserve">bei uns in Kärnten siehst du ziemlich viel </t>
    </r>
    <r>
      <rPr>
        <sz val="11"/>
        <color rgb="FFFF0000"/>
        <rFont val="Calibri"/>
        <family val="2"/>
        <scheme val="minor"/>
      </rPr>
      <t>äh</t>
    </r>
    <r>
      <rPr>
        <sz val="11"/>
        <color theme="1"/>
        <rFont val="Calibri"/>
        <family val="2"/>
        <scheme val="minor"/>
      </rPr>
      <t xml:space="preserve"> mobile Einsatzkräfte</t>
    </r>
  </si>
  <si>
    <r>
      <t xml:space="preserve">wir haben durch den </t>
    </r>
    <r>
      <rPr>
        <sz val="11"/>
        <color rgb="FFFF0000"/>
        <rFont val="Calibri"/>
        <family val="2"/>
        <scheme val="minor"/>
      </rPr>
      <t>ähm</t>
    </r>
    <r>
      <rPr>
        <sz val="11"/>
        <color theme="1"/>
        <rFont val="Calibri"/>
        <family val="2"/>
        <scheme val="minor"/>
      </rPr>
      <t xml:space="preserve"> bei uns gibt es ja in Vorarlberg den Maturaball</t>
    </r>
  </si>
  <si>
    <t>word-FA: ich weiß nicht (fehlt)</t>
  </si>
  <si>
    <r>
      <t xml:space="preserve">in irgendeiner Situation </t>
    </r>
    <r>
      <rPr>
        <sz val="11"/>
        <color rgb="FFFF0000"/>
        <rFont val="Calibri"/>
        <family val="2"/>
        <scheme val="minor"/>
      </rPr>
      <t>äh</t>
    </r>
    <r>
      <rPr>
        <sz val="11"/>
        <color theme="1"/>
        <rFont val="Calibri"/>
        <family val="2"/>
        <scheme val="minor"/>
      </rPr>
      <t xml:space="preserve"> wenn man &lt;&amp;b&gt;ir &lt;&amp;b&gt;i das Kind unter Druck setzt</t>
    </r>
  </si>
  <si>
    <t>ChunkID</t>
  </si>
  <si>
    <t>001M_462.1_Typ1</t>
  </si>
  <si>
    <t>001M_1562.75_Typ1</t>
  </si>
  <si>
    <t>002M_311.62_Typ1</t>
  </si>
  <si>
    <t>002M_3481.0_Typ1</t>
  </si>
  <si>
    <t>002M_3533.34_Typ1</t>
  </si>
  <si>
    <t>003M_2940.08_Typ1</t>
  </si>
  <si>
    <t>003M_997.55_Typ1</t>
  </si>
  <si>
    <t>015M_1723.65_Typ1</t>
  </si>
  <si>
    <t>015M_1882.77_Typ1</t>
  </si>
  <si>
    <t>021F_572.61_Typ1</t>
  </si>
  <si>
    <t>022F_185.27_Typ1</t>
  </si>
  <si>
    <t>022F_2451.96_Typ1</t>
  </si>
  <si>
    <t>005M_3607_Typ1</t>
  </si>
  <si>
    <t>005M_75.35_Typ1</t>
  </si>
  <si>
    <t>028F_495.6_Typ1</t>
  </si>
  <si>
    <t>011M_2075.735_Typ1</t>
  </si>
  <si>
    <t>037F_3012.5_Typ1</t>
  </si>
  <si>
    <t>037F_3130.5_Typ1</t>
  </si>
  <si>
    <t>002M_1643.1_Typ2</t>
  </si>
  <si>
    <t>003M_2507.23_Typ2</t>
  </si>
  <si>
    <t>024F_2072.68_Typ2</t>
  </si>
  <si>
    <t>024F_61.32_Typ2</t>
  </si>
  <si>
    <t>015M_2772.79_Typ2</t>
  </si>
  <si>
    <t>015M_3228.57_Typ2</t>
  </si>
  <si>
    <t>017M_1741_Typ2</t>
  </si>
  <si>
    <t>017M_632.6_Typ2</t>
  </si>
  <si>
    <t>022F_231.05_Typ2</t>
  </si>
  <si>
    <t>025F_895.385_Typ2</t>
  </si>
  <si>
    <t>026F_1779.4_Typ2</t>
  </si>
  <si>
    <t>027F_719.66_Typ2</t>
  </si>
  <si>
    <t>028F_3337.1_Typ2</t>
  </si>
  <si>
    <t>028F_811.3_Typ2</t>
  </si>
  <si>
    <t>030F_1500.05_Typ2</t>
  </si>
  <si>
    <t>030F_1908.12_Typ2</t>
  </si>
  <si>
    <t>011M_821.52_Typ2</t>
  </si>
  <si>
    <t>031F_1276.86_Typ2</t>
  </si>
  <si>
    <t>012M_2161.73_Typ2</t>
  </si>
  <si>
    <t>039F_1776.44_Typ2</t>
  </si>
  <si>
    <t>023F_1583.07_Typ4</t>
  </si>
  <si>
    <t>004M_875.4_Typ4</t>
  </si>
  <si>
    <t>024F_2871.85_Typ4</t>
  </si>
  <si>
    <t>024F_2991.48_Typ4</t>
  </si>
  <si>
    <t>010M_1319.54_Typ4</t>
  </si>
  <si>
    <t>010M_940.865_Typ4</t>
  </si>
  <si>
    <t>013M_2963.96_Typ4</t>
  </si>
  <si>
    <t>017M_2599.08_Typ4</t>
  </si>
  <si>
    <t>016M_1807.04_Typ4</t>
  </si>
  <si>
    <t>016M_3309.78_Typ4</t>
  </si>
  <si>
    <t>026F_1542.2_Typ4</t>
  </si>
  <si>
    <t>027F_545.66_Typ4</t>
  </si>
  <si>
    <t>008M_3529.43_Typ4</t>
  </si>
  <si>
    <t>028F_237.9_Typ4</t>
  </si>
  <si>
    <t>028F_663.81_Typ4</t>
  </si>
  <si>
    <t>030F_2469.31_Typ4</t>
  </si>
  <si>
    <t>035F_990.6_Typ4</t>
  </si>
  <si>
    <t>038F_3538.977_Typ4</t>
  </si>
  <si>
    <t>038F_55.69_Typ4</t>
  </si>
  <si>
    <t>039F_2273.9_Typ4</t>
  </si>
  <si>
    <t>super</t>
  </si>
  <si>
    <t>hinten creak am ähm</t>
  </si>
  <si>
    <t>Lachen rausschneiden? oder vllt anderen</t>
  </si>
  <si>
    <t>Eigenname "Eggenberg" aber kennt wahrsch. jede:r</t>
  </si>
  <si>
    <t>vorn_mit klingt der Filler am Ende wie "ja ich"?</t>
  </si>
  <si>
    <t>gut</t>
  </si>
  <si>
    <t>ziemlich dialekt</t>
  </si>
  <si>
    <t>man hört hinten den anderen sprecher</t>
  </si>
  <si>
    <t>langer filler</t>
  </si>
  <si>
    <t>hinten etwas abgehackt</t>
  </si>
  <si>
    <t>klingt abgehackt, wo filler rausgeschnitten ist (Ende von vorne)</t>
  </si>
  <si>
    <t>klingt ETWAS abgehackt, wo filler rausgeschnitten ist (Ende von vorne) aber ok</t>
  </si>
  <si>
    <t>noise etwas zu leise</t>
  </si>
  <si>
    <t>Lachen, wie bei VORN</t>
  </si>
  <si>
    <t>vorn ETWAS abgehackt</t>
  </si>
  <si>
    <t>am Ende etwas abgehackt, aber ok</t>
  </si>
  <si>
    <t>hinten auch disrupted, aber ok</t>
  </si>
  <si>
    <t>burst vom "t" abgeschnitten bei vorn_ohne</t>
  </si>
  <si>
    <t>vorne ist noch ein "und" mit im audio vor dem "dass"</t>
  </si>
  <si>
    <t>vorne ist noch ein "und" mit im audio vor dem "dass"; ganz bisschen hört sich der onset beim hinteren teil komisch an, aber das ist nicht so schlimm</t>
  </si>
  <si>
    <t>vorn_mit</t>
  </si>
  <si>
    <t>ganz_ohne</t>
  </si>
  <si>
    <t>ganz_mit</t>
  </si>
  <si>
    <t>hinten_valid4exp</t>
  </si>
  <si>
    <t>vorn_ohne</t>
  </si>
  <si>
    <t>vorn_valid4exp</t>
  </si>
  <si>
    <t>ganz_valid4exp</t>
  </si>
  <si>
    <t>rauschen bisschen leise</t>
  </si>
  <si>
    <t>das "eine" am anfang klingt wie ein "äh"</t>
  </si>
  <si>
    <t>das, was du rausgeschnitten hast (double filler) braucht mehr rauschen</t>
  </si>
  <si>
    <t>ggf. ist pause zu lang</t>
  </si>
  <si>
    <t>pause zu leise</t>
  </si>
  <si>
    <t>hinten_mit</t>
  </si>
  <si>
    <t>hinten_ohne</t>
  </si>
  <si>
    <t>ist *mit* filler</t>
  </si>
  <si>
    <t>wo filler raus ist, ist rauschen zu laut; wo vorne rausgeschnitten ist, ist rauschen etwas leise, aber weniger schlimm</t>
  </si>
  <si>
    <t>wo vorne rausgeschnitten ist, ist rauschen etwas leise, aber weniger schlimm</t>
  </si>
  <si>
    <t>man hört die sprecherin auf dem anderen channel</t>
  </si>
  <si>
    <t>onset nach dem geschnittenen filler etwas steil; man hört die sprecherin auf dem anderen channel</t>
  </si>
  <si>
    <t>rauschen etwas leise</t>
  </si>
  <si>
    <t>man hört das m noch</t>
  </si>
  <si>
    <t>pause etwas leise und insges lang</t>
  </si>
  <si>
    <t>onset nach dem geschnittenen filler etwas steil</t>
  </si>
  <si>
    <t>2?</t>
  </si>
  <si>
    <t>seehr lange Pause und etwas leises rauschen</t>
  </si>
  <si>
    <t>man hört ganz am anfang noch ein artefakt von vorher</t>
  </si>
  <si>
    <t>man hört die andere sprecherin total am anfang</t>
  </si>
  <si>
    <t>man hört bisschen das "w" vom wasser am ende vom ersten teil, aber ok</t>
  </si>
  <si>
    <t>rauschen zu leise</t>
  </si>
  <si>
    <t>ggf das äh noch etwas kürzen, man hört schon etwas das "j" vom jahr</t>
  </si>
  <si>
    <t>textgrid kaputt</t>
  </si>
  <si>
    <t>offset wo filler raus etwas stark</t>
  </si>
  <si>
    <t>man hört hinten die andere sprecherin</t>
  </si>
  <si>
    <t>groundtruth unklar</t>
  </si>
  <si>
    <t>sehr lange pause</t>
  </si>
  <si>
    <t>rauschen viel zu leise</t>
  </si>
  <si>
    <t>hier ist zu glued zum abschneiden</t>
  </si>
  <si>
    <t>man hört vorn den anderen räuspern</t>
  </si>
  <si>
    <t>man hört den anderen sprecher</t>
  </si>
  <si>
    <t>pause zu leise und lang</t>
  </si>
  <si>
    <t>ich glaube, das ist eher ein "ja" als ein "äh"</t>
  </si>
  <si>
    <t>Korrigiert Ecki</t>
  </si>
  <si>
    <t>listened to</t>
  </si>
  <si>
    <t>003M_244.85_Typ1</t>
  </si>
  <si>
    <t>yes (new name)</t>
  </si>
  <si>
    <t>excluded</t>
  </si>
  <si>
    <t>rauschen zu leise - Ecki: gain passt gut, nur fällt der Wechsel ziemlich auf</t>
  </si>
  <si>
    <t>yes (gekürzt hinten)</t>
  </si>
  <si>
    <t>man hört vorn den anderen räuspern  - Ecki: Vici hat das Räuspern bei einem Mal hören nicht gehört</t>
  </si>
  <si>
    <t>yes (breathing mit raus)</t>
  </si>
  <si>
    <t>yes (gekürzt vorn)</t>
  </si>
  <si>
    <t>021F_467.42_Typ1</t>
  </si>
  <si>
    <t>yes (anderen raus)</t>
  </si>
  <si>
    <t>yes (hinten kürzer)</t>
  </si>
  <si>
    <t>yes (gekürzt)</t>
  </si>
  <si>
    <t>excluded ahm = und</t>
  </si>
  <si>
    <t>yes (lachen weg)</t>
  </si>
  <si>
    <t>003M_613.15_Typ2</t>
  </si>
  <si>
    <t>003M_774.28_Typ2</t>
  </si>
  <si>
    <t>010M_207.84_Typ4</t>
  </si>
  <si>
    <t>030F_1972.53_Typ4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</si>
</sst>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xf numFmtId="0" fontId="0" fillId="0" borderId="2" xfId="0" applyBorder="1"/>
    <xf numFmtId="0" fontId="0" fillId="2" borderId="0" xfId="0" applyFill="1"/>
    <xf numFmtId="0" fontId="0" fillId="3" borderId="0" xfId="0" applyFill="1"/>
  </cellXfs>
  <cellStyles count="2">
    <cellStyle name="Link" xfId="1" builtinId="8"/>
    <cellStyle name="Standard"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kumimoji="0" lang="de-DE" sz="1600" b="1" i="0" u="none" strike="noStrike" kern="1200" cap="all" spc="0" normalizeH="0" baseline="0" noProof="0">
                <a:ln>
                  <a:noFill/>
                </a:ln>
                <a:solidFill>
                  <a:sysClr val="windowText" lastClr="000000">
                    <a:lumMod val="65000"/>
                    <a:lumOff val="35000"/>
                  </a:sysClr>
                </a:solidFill>
                <a:effectLst/>
                <a:uLnTx/>
                <a:uFillTx/>
                <a:latin typeface="Calibri"/>
              </a:rPr>
              <a:t>why not valid</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72C-4992-B641-DAF76BB73DC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72C-4992-B641-DAF76BB73DC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72C-4992-B641-DAF76BB73DC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D72C-4992-B641-DAF76BB73DC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72C-4992-B641-DAF76BB73DC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72C-4992-B641-DAF76BB73DC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72C-4992-B641-DAF76BB73DC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72C-4992-B641-DAF76BB73DC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72C-4992-B641-DAF76BB73DC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72C-4992-B641-DAF76BB73DC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72C-4992-B641-DAF76BB73DC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D72C-4992-B641-DAF76BB73DC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D72C-4992-B641-DAF76BB73DC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D72C-4992-B641-DAF76BB73DC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D72C-4992-B641-DAF76BB73DC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D72C-4992-B641-DAF76BB73DC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72C-4992-B641-DAF76BB73DC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D72C-4992-B641-DAF76BB73DC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D72C-4992-B641-DAF76BB73DC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D72C-4992-B641-DAF76BB73DC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D72C-4992-B641-DAF76BB73DC0}"/>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72C-4992-B641-DAF76BB73DC0}"/>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D72C-4992-B641-DAF76BB73DC0}"/>
              </c:ext>
            </c:extLst>
          </c:dPt>
          <c:dPt>
            <c:idx val="23"/>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D72C-4992-B641-DAF76BB73DC0}"/>
              </c:ext>
            </c:extLst>
          </c:dPt>
          <c:dPt>
            <c:idx val="24"/>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D72C-4992-B641-DAF76BB73DC0}"/>
              </c:ext>
            </c:extLst>
          </c:dPt>
          <c:dPt>
            <c:idx val="25"/>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72C-4992-B641-DAF76BB73DC0}"/>
              </c:ext>
            </c:extLst>
          </c:dPt>
          <c:dPt>
            <c:idx val="26"/>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D72C-4992-B641-DAF76BB73DC0}"/>
              </c:ext>
            </c:extLst>
          </c:dPt>
          <c:dPt>
            <c:idx val="27"/>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D72C-4992-B641-DAF76BB73DC0}"/>
              </c:ext>
            </c:extLst>
          </c:dPt>
          <c:dPt>
            <c:idx val="28"/>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D72C-4992-B641-DAF76BB73DC0}"/>
              </c:ext>
            </c:extLst>
          </c:dPt>
          <c:dPt>
            <c:idx val="29"/>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72C-4992-B641-DAF76BB73DC0}"/>
              </c:ext>
            </c:extLst>
          </c:dPt>
          <c:dPt>
            <c:idx val="30"/>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72C-4992-B641-DAF76BB73DC0}"/>
              </c:ext>
            </c:extLst>
          </c:dPt>
          <c:dPt>
            <c:idx val="31"/>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72C-4992-B641-DAF76BB73DC0}"/>
              </c:ext>
            </c:extLst>
          </c:dPt>
          <c:dPt>
            <c:idx val="32"/>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D72C-4992-B641-DAF76BB73DC0}"/>
              </c:ext>
            </c:extLst>
          </c:dPt>
          <c:dPt>
            <c:idx val="33"/>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D72C-4992-B641-DAF76BB73DC0}"/>
              </c:ext>
            </c:extLst>
          </c:dPt>
          <c:dPt>
            <c:idx val="34"/>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D72C-4992-B641-DAF76BB73DC0}"/>
              </c:ext>
            </c:extLst>
          </c:dPt>
          <c:dPt>
            <c:idx val="35"/>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72C-4992-B641-DAF76BB73DC0}"/>
              </c:ext>
            </c:extLst>
          </c:dPt>
          <c:dPt>
            <c:idx val="36"/>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72C-4992-B641-DAF76BB73DC0}"/>
              </c:ext>
            </c:extLst>
          </c:dPt>
          <c:dPt>
            <c:idx val="37"/>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D72C-4992-B641-DAF76BB73DC0}"/>
              </c:ext>
            </c:extLst>
          </c:dPt>
          <c:dPt>
            <c:idx val="38"/>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D72C-4992-B641-DAF76BB73DC0}"/>
              </c:ext>
            </c:extLst>
          </c:dPt>
          <c:dPt>
            <c:idx val="39"/>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D72C-4992-B641-DAF76BB73DC0}"/>
              </c:ext>
            </c:extLst>
          </c:dPt>
          <c:dPt>
            <c:idx val="40"/>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D72C-4992-B641-DAF76BB73DC0}"/>
              </c:ext>
            </c:extLst>
          </c:dPt>
          <c:dPt>
            <c:idx val="41"/>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D72C-4992-B641-DAF76BB73DC0}"/>
              </c:ext>
            </c:extLst>
          </c:dPt>
          <c:dPt>
            <c:idx val="42"/>
            <c:bubble3D val="0"/>
            <c:spPr>
              <a:solidFill>
                <a:schemeClr val="accent1">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D72C-4992-B641-DAF76BB73DC0}"/>
              </c:ext>
            </c:extLst>
          </c:dPt>
          <c:dPt>
            <c:idx val="43"/>
            <c:bubble3D val="0"/>
            <c:spPr>
              <a:solidFill>
                <a:schemeClr val="accent2">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72C-4992-B641-DAF76BB73DC0}"/>
              </c:ext>
            </c:extLst>
          </c:dPt>
          <c:dPt>
            <c:idx val="44"/>
            <c:bubble3D val="0"/>
            <c:spPr>
              <a:solidFill>
                <a:schemeClr val="accent3">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D72C-4992-B641-DAF76BB73DC0}"/>
              </c:ext>
            </c:extLst>
          </c:dPt>
          <c:dPt>
            <c:idx val="45"/>
            <c:bubble3D val="0"/>
            <c:spPr>
              <a:solidFill>
                <a:schemeClr val="accent4">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72C-4992-B641-DAF76BB73DC0}"/>
              </c:ext>
            </c:extLst>
          </c:dPt>
          <c:dPt>
            <c:idx val="46"/>
            <c:bubble3D val="0"/>
            <c:spPr>
              <a:solidFill>
                <a:schemeClr val="accent5">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D72C-4992-B641-DAF76BB73DC0}"/>
              </c:ext>
            </c:extLst>
          </c:dPt>
          <c:dPt>
            <c:idx val="47"/>
            <c:bubble3D val="0"/>
            <c:spPr>
              <a:solidFill>
                <a:schemeClr val="accent6">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D72C-4992-B641-DAF76BB73DC0}"/>
              </c:ext>
            </c:extLst>
          </c:dPt>
          <c:dPt>
            <c:idx val="48"/>
            <c:bubble3D val="0"/>
            <c:spPr>
              <a:solidFill>
                <a:schemeClr val="accent1">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D72C-4992-B641-DAF76BB73DC0}"/>
              </c:ext>
            </c:extLst>
          </c:dPt>
          <c:dPt>
            <c:idx val="49"/>
            <c:bubble3D val="0"/>
            <c:spPr>
              <a:solidFill>
                <a:schemeClr val="accent2">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D72C-4992-B641-DAF76BB73DC0}"/>
              </c:ext>
            </c:extLst>
          </c:dPt>
          <c:dPt>
            <c:idx val="50"/>
            <c:bubble3D val="0"/>
            <c:spPr>
              <a:solidFill>
                <a:schemeClr val="accent3">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D72C-4992-B641-DAF76BB73DC0}"/>
              </c:ext>
            </c:extLst>
          </c:dPt>
          <c:dPt>
            <c:idx val="51"/>
            <c:bubble3D val="0"/>
            <c:spPr>
              <a:solidFill>
                <a:schemeClr val="accent4">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D72C-4992-B641-DAF76BB73DC0}"/>
              </c:ext>
            </c:extLst>
          </c:dPt>
          <c:dPt>
            <c:idx val="52"/>
            <c:bubble3D val="0"/>
            <c:spPr>
              <a:solidFill>
                <a:schemeClr val="accent5">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D72C-4992-B641-DAF76BB73DC0}"/>
              </c:ext>
            </c:extLst>
          </c:dPt>
          <c:dPt>
            <c:idx val="53"/>
            <c:bubble3D val="0"/>
            <c:spPr>
              <a:solidFill>
                <a:schemeClr val="accent6">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D72C-4992-B641-DAF76BB73DC0}"/>
              </c:ext>
            </c:extLst>
          </c:dPt>
          <c:dPt>
            <c:idx val="54"/>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D72C-4992-B641-DAF76BB73DC0}"/>
              </c:ext>
            </c:extLst>
          </c:dPt>
          <c:dPt>
            <c:idx val="55"/>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D72C-4992-B641-DAF76BB73DC0}"/>
              </c:ext>
            </c:extLst>
          </c:dPt>
          <c:dPt>
            <c:idx val="56"/>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D72C-4992-B641-DAF76BB73DC0}"/>
              </c:ext>
            </c:extLst>
          </c:dPt>
          <c:dPt>
            <c:idx val="57"/>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D72C-4992-B641-DAF76BB73DC0}"/>
              </c:ext>
            </c:extLst>
          </c:dPt>
          <c:dPt>
            <c:idx val="58"/>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D72C-4992-B641-DAF76BB73DC0}"/>
              </c:ext>
            </c:extLst>
          </c:dPt>
          <c:dPt>
            <c:idx val="59"/>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D72C-4992-B641-DAF76BB73DC0}"/>
              </c:ext>
            </c:extLst>
          </c:dPt>
          <c:dPt>
            <c:idx val="6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D72C-4992-B641-DAF76BB73DC0}"/>
              </c:ext>
            </c:extLst>
          </c:dPt>
          <c:dPt>
            <c:idx val="61"/>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D72C-4992-B641-DAF76BB73DC0}"/>
              </c:ext>
            </c:extLst>
          </c:dPt>
          <c:dPt>
            <c:idx val="62"/>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D72C-4992-B641-DAF76BB73DC0}"/>
              </c:ext>
            </c:extLst>
          </c:dPt>
          <c:dPt>
            <c:idx val="63"/>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D72C-4992-B641-DAF76BB73DC0}"/>
              </c:ext>
            </c:extLst>
          </c:dPt>
          <c:dPt>
            <c:idx val="6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D72C-4992-B641-DAF76BB73DC0}"/>
              </c:ext>
            </c:extLst>
          </c:dPt>
          <c:dPt>
            <c:idx val="65"/>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D72C-4992-B641-DAF76BB73DC0}"/>
              </c:ext>
            </c:extLst>
          </c:dPt>
          <c:dPt>
            <c:idx val="6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D72C-4992-B641-DAF76BB73DC0}"/>
              </c:ext>
            </c:extLst>
          </c:dPt>
          <c:dPt>
            <c:idx val="67"/>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D72C-4992-B641-DAF76BB73DC0}"/>
              </c:ext>
            </c:extLst>
          </c:dPt>
          <c:dPt>
            <c:idx val="68"/>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D72C-4992-B641-DAF76BB73DC0}"/>
              </c:ext>
            </c:extLst>
          </c:dPt>
          <c:dPt>
            <c:idx val="69"/>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D72C-4992-B641-DAF76BB73DC0}"/>
              </c:ext>
            </c:extLst>
          </c:dPt>
          <c:dPt>
            <c:idx val="70"/>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D72C-4992-B641-DAF76BB73DC0}"/>
              </c:ext>
            </c:extLst>
          </c:dPt>
          <c:dPt>
            <c:idx val="71"/>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D72C-4992-B641-DAF76BB73DC0}"/>
              </c:ext>
            </c:extLst>
          </c:dPt>
          <c:dPt>
            <c:idx val="72"/>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D72C-4992-B641-DAF76BB73DC0}"/>
              </c:ext>
            </c:extLst>
          </c:dPt>
          <c:dPt>
            <c:idx val="73"/>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D72C-4992-B641-DAF76BB73DC0}"/>
              </c:ext>
            </c:extLst>
          </c:dPt>
          <c:dPt>
            <c:idx val="74"/>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D72C-4992-B641-DAF76BB73DC0}"/>
              </c:ext>
            </c:extLst>
          </c:dPt>
          <c:dPt>
            <c:idx val="75"/>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D72C-4992-B641-DAF76BB73DC0}"/>
              </c:ext>
            </c:extLst>
          </c:dPt>
          <c:dPt>
            <c:idx val="76"/>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D72C-4992-B641-DAF76BB73DC0}"/>
              </c:ext>
            </c:extLst>
          </c:dPt>
          <c:dPt>
            <c:idx val="77"/>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F-D72C-4992-B641-DAF76BB73DC0}"/>
              </c:ext>
            </c:extLst>
          </c:dPt>
          <c:dPt>
            <c:idx val="78"/>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D72C-4992-B641-DAF76BB73DC0}"/>
              </c:ext>
            </c:extLst>
          </c:dPt>
          <c:dPt>
            <c:idx val="79"/>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D72C-4992-B641-DAF76BB73DC0}"/>
              </c:ext>
            </c:extLst>
          </c:dPt>
          <c:dPt>
            <c:idx val="80"/>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D72C-4992-B641-DAF76BB73DC0}"/>
              </c:ext>
            </c:extLst>
          </c:dPt>
          <c:dPt>
            <c:idx val="81"/>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3-D72C-4992-B641-DAF76BB73DC0}"/>
              </c:ext>
            </c:extLst>
          </c:dPt>
          <c:dPt>
            <c:idx val="82"/>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4-D72C-4992-B641-DAF76BB73DC0}"/>
              </c:ext>
            </c:extLst>
          </c:dPt>
          <c:dPt>
            <c:idx val="83"/>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D72C-4992-B641-DAF76BB73DC0}"/>
              </c:ext>
            </c:extLst>
          </c:dPt>
          <c:dPt>
            <c:idx val="84"/>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6-D72C-4992-B641-DAF76BB73DC0}"/>
              </c:ext>
            </c:extLst>
          </c:dPt>
          <c:dPt>
            <c:idx val="85"/>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D72C-4992-B641-DAF76BB73DC0}"/>
              </c:ext>
            </c:extLst>
          </c:dPt>
          <c:dPt>
            <c:idx val="86"/>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8-D72C-4992-B641-DAF76BB73DC0}"/>
              </c:ext>
            </c:extLst>
          </c:dPt>
          <c:dPt>
            <c:idx val="87"/>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D72C-4992-B641-DAF76BB73DC0}"/>
              </c:ext>
            </c:extLst>
          </c:dPt>
          <c:dPt>
            <c:idx val="88"/>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A-D72C-4992-B641-DAF76BB73DC0}"/>
              </c:ext>
            </c:extLst>
          </c:dPt>
          <c:dPt>
            <c:idx val="89"/>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D72C-4992-B641-DAF76BB73DC0}"/>
              </c:ext>
            </c:extLst>
          </c:dPt>
          <c:dPt>
            <c:idx val="90"/>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C-D72C-4992-B641-DAF76BB73DC0}"/>
              </c:ext>
            </c:extLst>
          </c:dPt>
          <c:dPt>
            <c:idx val="91"/>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D72C-4992-B641-DAF76BB73DC0}"/>
              </c:ext>
            </c:extLst>
          </c:dPt>
          <c:dPt>
            <c:idx val="92"/>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E-D72C-4992-B641-DAF76BB73DC0}"/>
              </c:ext>
            </c:extLst>
          </c:dPt>
          <c:dPt>
            <c:idx val="93"/>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D72C-4992-B641-DAF76BB73DC0}"/>
              </c:ext>
            </c:extLst>
          </c:dPt>
          <c:dPt>
            <c:idx val="94"/>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0-D72C-4992-B641-DAF76BB73DC0}"/>
              </c:ext>
            </c:extLst>
          </c:dPt>
          <c:dPt>
            <c:idx val="95"/>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D72C-4992-B641-DAF76BB73DC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4-D72C-4992-B641-DAF76BB73DC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2-D72C-4992-B641-DAF76BB73DC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F-D72C-4992-B641-DAF76BB73DC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0-D72C-4992-B641-DAF76BB73DC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1-D72C-4992-B641-DAF76BB73DC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E-D72C-4992-B641-DAF76BB73DC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C-D72C-4992-B641-DAF76BB73DC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2-D72C-4992-B641-DAF76BB73DC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3-D72C-4992-B641-DAF76BB73DC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3-D72C-4992-B641-DAF76BB73DC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4-D72C-4992-B641-DAF76BB73DC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5-D72C-4992-B641-DAF76BB73DC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6-D72C-4992-B641-DAF76BB73DC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7-D72C-4992-B641-DAF76BB73DC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8-D72C-4992-B641-DAF76BB73DC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9-D72C-4992-B641-DAF76BB73DC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D-D72C-4992-B641-DAF76BB73DC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A-D72C-4992-B641-DAF76BB73DC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B-D72C-4992-B641-DAF76BB73DC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C-D72C-4992-B641-DAF76BB73DC0}"/>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D-D72C-4992-B641-DAF76BB73DC0}"/>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6-D72C-4992-B641-DAF76BB73DC0}"/>
                </c:ext>
              </c:extLst>
            </c:dLbl>
            <c:dLbl>
              <c:idx val="2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E-D72C-4992-B641-DAF76BB73DC0}"/>
                </c:ext>
              </c:extLst>
            </c:dLbl>
            <c:dLbl>
              <c:idx val="2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F-D72C-4992-B641-DAF76BB73DC0}"/>
                </c:ext>
              </c:extLst>
            </c:dLbl>
            <c:dLbl>
              <c:idx val="2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0-D72C-4992-B641-DAF76BB73DC0}"/>
                </c:ext>
              </c:extLst>
            </c:dLbl>
            <c:dLbl>
              <c:idx val="2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5-D72C-4992-B641-DAF76BB73DC0}"/>
                </c:ext>
              </c:extLst>
            </c:dLbl>
            <c:dLbl>
              <c:idx val="2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1-D72C-4992-B641-DAF76BB73DC0}"/>
                </c:ext>
              </c:extLst>
            </c:dLbl>
            <c:dLbl>
              <c:idx val="2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2-D72C-4992-B641-DAF76BB73DC0}"/>
                </c:ext>
              </c:extLst>
            </c:dLbl>
            <c:dLbl>
              <c:idx val="2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3-D72C-4992-B641-DAF76BB73DC0}"/>
                </c:ext>
              </c:extLst>
            </c:dLbl>
            <c:dLbl>
              <c:idx val="2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9-D72C-4992-B641-DAF76BB73DC0}"/>
                </c:ext>
              </c:extLst>
            </c:dLbl>
            <c:dLbl>
              <c:idx val="3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4-D72C-4992-B641-DAF76BB73DC0}"/>
                </c:ext>
              </c:extLst>
            </c:dLbl>
            <c:dLbl>
              <c:idx val="3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A-D72C-4992-B641-DAF76BB73DC0}"/>
                </c:ext>
              </c:extLst>
            </c:dLbl>
            <c:dLbl>
              <c:idx val="3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5-D72C-4992-B641-DAF76BB73DC0}"/>
                </c:ext>
              </c:extLst>
            </c:dLbl>
            <c:dLbl>
              <c:idx val="3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6-D72C-4992-B641-DAF76BB73DC0}"/>
                </c:ext>
              </c:extLst>
            </c:dLbl>
            <c:dLbl>
              <c:idx val="3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7-D72C-4992-B641-DAF76BB73DC0}"/>
                </c:ext>
              </c:extLst>
            </c:dLbl>
            <c:dLbl>
              <c:idx val="3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B-D72C-4992-B641-DAF76BB73DC0}"/>
                </c:ext>
              </c:extLst>
            </c:dLbl>
            <c:dLbl>
              <c:idx val="3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8-D72C-4992-B641-DAF76BB73DC0}"/>
                </c:ext>
              </c:extLst>
            </c:dLbl>
            <c:dLbl>
              <c:idx val="3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9-D72C-4992-B641-DAF76BB73DC0}"/>
                </c:ext>
              </c:extLst>
            </c:dLbl>
            <c:dLbl>
              <c:idx val="3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A-D72C-4992-B641-DAF76BB73DC0}"/>
                </c:ext>
              </c:extLst>
            </c:dLbl>
            <c:dLbl>
              <c:idx val="3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B-D72C-4992-B641-DAF76BB73DC0}"/>
                </c:ext>
              </c:extLst>
            </c:dLbl>
            <c:dLbl>
              <c:idx val="4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C-D72C-4992-B641-DAF76BB73DC0}"/>
                </c:ext>
              </c:extLst>
            </c:dLbl>
            <c:dLbl>
              <c:idx val="4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D-D72C-4992-B641-DAF76BB73DC0}"/>
                </c:ext>
              </c:extLst>
            </c:dLbl>
            <c:dLbl>
              <c:idx val="4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E-D72C-4992-B641-DAF76BB73DC0}"/>
                </c:ext>
              </c:extLst>
            </c:dLbl>
            <c:dLbl>
              <c:idx val="4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8-D72C-4992-B641-DAF76BB73DC0}"/>
                </c:ext>
              </c:extLst>
            </c:dLbl>
            <c:dLbl>
              <c:idx val="4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F-D72C-4992-B641-DAF76BB73DC0}"/>
                </c:ext>
              </c:extLst>
            </c:dLbl>
            <c:dLbl>
              <c:idx val="4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7-D72C-4992-B641-DAF76BB73DC0}"/>
                </c:ext>
              </c:extLst>
            </c:dLbl>
            <c:dLbl>
              <c:idx val="4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0-D72C-4992-B641-DAF76BB73DC0}"/>
                </c:ext>
              </c:extLst>
            </c:dLbl>
            <c:dLbl>
              <c:idx val="4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1-D72C-4992-B641-DAF76BB73DC0}"/>
                </c:ext>
              </c:extLst>
            </c:dLbl>
            <c:dLbl>
              <c:idx val="4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2-D72C-4992-B641-DAF76BB73DC0}"/>
                </c:ext>
              </c:extLst>
            </c:dLbl>
            <c:dLbl>
              <c:idx val="4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3-D72C-4992-B641-DAF76BB73DC0}"/>
                </c:ext>
              </c:extLst>
            </c:dLbl>
            <c:dLbl>
              <c:idx val="5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4-D72C-4992-B641-DAF76BB73DC0}"/>
                </c:ext>
              </c:extLst>
            </c:dLbl>
            <c:dLbl>
              <c:idx val="5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5-D72C-4992-B641-DAF76BB73DC0}"/>
                </c:ext>
              </c:extLst>
            </c:dLbl>
            <c:dLbl>
              <c:idx val="5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6-D72C-4992-B641-DAF76BB73DC0}"/>
                </c:ext>
              </c:extLst>
            </c:dLbl>
            <c:dLbl>
              <c:idx val="5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7-D72C-4992-B641-DAF76BB73DC0}"/>
                </c:ext>
              </c:extLst>
            </c:dLbl>
            <c:dLbl>
              <c:idx val="5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8-D72C-4992-B641-DAF76BB73DC0}"/>
                </c:ext>
              </c:extLst>
            </c:dLbl>
            <c:dLbl>
              <c:idx val="5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9-D72C-4992-B641-DAF76BB73DC0}"/>
                </c:ext>
              </c:extLst>
            </c:dLbl>
            <c:dLbl>
              <c:idx val="5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A-D72C-4992-B641-DAF76BB73DC0}"/>
                </c:ext>
              </c:extLst>
            </c:dLbl>
            <c:dLbl>
              <c:idx val="5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B-D72C-4992-B641-DAF76BB73DC0}"/>
                </c:ext>
              </c:extLst>
            </c:dLbl>
            <c:dLbl>
              <c:idx val="5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C-D72C-4992-B641-DAF76BB73DC0}"/>
                </c:ext>
              </c:extLst>
            </c:dLbl>
            <c:dLbl>
              <c:idx val="5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D-D72C-4992-B641-DAF76BB73DC0}"/>
                </c:ext>
              </c:extLst>
            </c:dLbl>
            <c:dLbl>
              <c:idx val="6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E-D72C-4992-B641-DAF76BB73DC0}"/>
                </c:ext>
              </c:extLst>
            </c:dLbl>
            <c:dLbl>
              <c:idx val="6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F-D72C-4992-B641-DAF76BB73DC0}"/>
                </c:ext>
              </c:extLst>
            </c:dLbl>
            <c:dLbl>
              <c:idx val="6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0-D72C-4992-B641-DAF76BB73DC0}"/>
                </c:ext>
              </c:extLst>
            </c:dLbl>
            <c:dLbl>
              <c:idx val="6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1-D72C-4992-B641-DAF76BB73DC0}"/>
                </c:ext>
              </c:extLst>
            </c:dLbl>
            <c:dLbl>
              <c:idx val="6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2-D72C-4992-B641-DAF76BB73DC0}"/>
                </c:ext>
              </c:extLst>
            </c:dLbl>
            <c:dLbl>
              <c:idx val="6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3-D72C-4992-B641-DAF76BB73DC0}"/>
                </c:ext>
              </c:extLst>
            </c:dLbl>
            <c:dLbl>
              <c:idx val="6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4-D72C-4992-B641-DAF76BB73DC0}"/>
                </c:ext>
              </c:extLst>
            </c:dLbl>
            <c:dLbl>
              <c:idx val="6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5-D72C-4992-B641-DAF76BB73DC0}"/>
                </c:ext>
              </c:extLst>
            </c:dLbl>
            <c:dLbl>
              <c:idx val="6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6-D72C-4992-B641-DAF76BB73DC0}"/>
                </c:ext>
              </c:extLst>
            </c:dLbl>
            <c:dLbl>
              <c:idx val="6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7-D72C-4992-B641-DAF76BB73DC0}"/>
                </c:ext>
              </c:extLst>
            </c:dLbl>
            <c:dLbl>
              <c:idx val="7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8-D72C-4992-B641-DAF76BB73DC0}"/>
                </c:ext>
              </c:extLst>
            </c:dLbl>
            <c:dLbl>
              <c:idx val="7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9-D72C-4992-B641-DAF76BB73DC0}"/>
                </c:ext>
              </c:extLst>
            </c:dLbl>
            <c:dLbl>
              <c:idx val="7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A-D72C-4992-B641-DAF76BB73DC0}"/>
                </c:ext>
              </c:extLst>
            </c:dLbl>
            <c:dLbl>
              <c:idx val="7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B-D72C-4992-B641-DAF76BB73DC0}"/>
                </c:ext>
              </c:extLst>
            </c:dLbl>
            <c:dLbl>
              <c:idx val="7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C-D72C-4992-B641-DAF76BB73DC0}"/>
                </c:ext>
              </c:extLst>
            </c:dLbl>
            <c:dLbl>
              <c:idx val="7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D-D72C-4992-B641-DAF76BB73DC0}"/>
                </c:ext>
              </c:extLst>
            </c:dLbl>
            <c:dLbl>
              <c:idx val="7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E-D72C-4992-B641-DAF76BB73DC0}"/>
                </c:ext>
              </c:extLst>
            </c:dLbl>
            <c:dLbl>
              <c:idx val="7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F-D72C-4992-B641-DAF76BB73DC0}"/>
                </c:ext>
              </c:extLst>
            </c:dLbl>
            <c:dLbl>
              <c:idx val="7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0-D72C-4992-B641-DAF76BB73DC0}"/>
                </c:ext>
              </c:extLst>
            </c:dLbl>
            <c:dLbl>
              <c:idx val="7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1-D72C-4992-B641-DAF76BB73DC0}"/>
                </c:ext>
              </c:extLst>
            </c:dLbl>
            <c:dLbl>
              <c:idx val="8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2-D72C-4992-B641-DAF76BB73DC0}"/>
                </c:ext>
              </c:extLst>
            </c:dLbl>
            <c:dLbl>
              <c:idx val="8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3-D72C-4992-B641-DAF76BB73DC0}"/>
                </c:ext>
              </c:extLst>
            </c:dLbl>
            <c:dLbl>
              <c:idx val="8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4-D72C-4992-B641-DAF76BB73DC0}"/>
                </c:ext>
              </c:extLst>
            </c:dLbl>
            <c:dLbl>
              <c:idx val="8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5-D72C-4992-B641-DAF76BB73DC0}"/>
                </c:ext>
              </c:extLst>
            </c:dLbl>
            <c:dLbl>
              <c:idx val="8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6-D72C-4992-B641-DAF76BB73DC0}"/>
                </c:ext>
              </c:extLst>
            </c:dLbl>
            <c:dLbl>
              <c:idx val="8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7-D72C-4992-B641-DAF76BB73DC0}"/>
                </c:ext>
              </c:extLst>
            </c:dLbl>
            <c:dLbl>
              <c:idx val="8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8-D72C-4992-B641-DAF76BB73DC0}"/>
                </c:ext>
              </c:extLst>
            </c:dLbl>
            <c:dLbl>
              <c:idx val="8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9-D72C-4992-B641-DAF76BB73DC0}"/>
                </c:ext>
              </c:extLst>
            </c:dLbl>
            <c:dLbl>
              <c:idx val="8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A-D72C-4992-B641-DAF76BB73DC0}"/>
                </c:ext>
              </c:extLst>
            </c:dLbl>
            <c:dLbl>
              <c:idx val="8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B-D72C-4992-B641-DAF76BB73DC0}"/>
                </c:ext>
              </c:extLst>
            </c:dLbl>
            <c:dLbl>
              <c:idx val="9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C-D72C-4992-B641-DAF76BB73DC0}"/>
                </c:ext>
              </c:extLst>
            </c:dLbl>
            <c:dLbl>
              <c:idx val="9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D-D72C-4992-B641-DAF76BB73DC0}"/>
                </c:ext>
              </c:extLst>
            </c:dLbl>
            <c:dLbl>
              <c:idx val="9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E-D72C-4992-B641-DAF76BB73DC0}"/>
                </c:ext>
              </c:extLst>
            </c:dLbl>
            <c:dLbl>
              <c:idx val="9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F-D72C-4992-B641-DAF76BB73DC0}"/>
                </c:ext>
              </c:extLst>
            </c:dLbl>
            <c:dLbl>
              <c:idx val="9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0-D72C-4992-B641-DAF76BB73DC0}"/>
                </c:ext>
              </c:extLst>
            </c:dLbl>
            <c:dLbl>
              <c:idx val="9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1-D72C-4992-B641-DAF76BB73D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Statistics!$H$64:$H$101</c:f>
              <c:strCache>
                <c:ptCount val="38"/>
                <c:pt idx="0">
                  <c:v>double talk</c:v>
                </c:pt>
                <c:pt idx="1">
                  <c:v>initial FP</c:v>
                </c:pt>
                <c:pt idx="2">
                  <c:v>hard to understand</c:v>
                </c:pt>
                <c:pt idx="3">
                  <c:v>rare word</c:v>
                </c:pt>
                <c:pt idx="4">
                  <c:v>short FP</c:v>
                </c:pt>
                <c:pt idx="5">
                  <c:v>und äh</c:v>
                </c:pt>
                <c:pt idx="6">
                  <c:v>laughter</c:v>
                </c:pt>
                <c:pt idx="7">
                  <c:v>not enough speech</c:v>
                </c:pt>
                <c:pt idx="8">
                  <c:v>name</c:v>
                </c:pt>
                <c:pt idx="9">
                  <c:v>repetition</c:v>
                </c:pt>
                <c:pt idx="10">
                  <c:v>answer</c:v>
                </c:pt>
                <c:pt idx="11">
                  <c:v>long pause</c:v>
                </c:pt>
                <c:pt idx="12">
                  <c:v>short after</c:v>
                </c:pt>
                <c:pt idx="13">
                  <c:v>broken word</c:v>
                </c:pt>
                <c:pt idx="14">
                  <c:v>glued</c:v>
                </c:pt>
                <c:pt idx="15">
                  <c:v>closing FP</c:v>
                </c:pt>
                <c:pt idx="16">
                  <c:v>double FP</c:v>
                </c:pt>
                <c:pt idx="17">
                  <c:v>english</c:v>
                </c:pt>
                <c:pt idx="18">
                  <c:v>disruption at wrong point</c:v>
                </c:pt>
                <c:pt idx="19">
                  <c:v>not a FP</c:v>
                </c:pt>
                <c:pt idx="20">
                  <c:v>need more</c:v>
                </c:pt>
                <c:pt idx="21">
                  <c:v>not sure which case</c:v>
                </c:pt>
                <c:pt idx="22">
                  <c:v>spelling</c:v>
                </c:pt>
                <c:pt idx="23">
                  <c:v>short before</c:v>
                </c:pt>
                <c:pt idx="24">
                  <c:v>eh</c:v>
                </c:pt>
                <c:pt idx="25">
                  <c:v>not for sensitive audiences</c:v>
                </c:pt>
                <c:pt idx="26">
                  <c:v>unglückliche Verkettung…</c:v>
                </c:pt>
                <c:pt idx="27">
                  <c:v>no disruption</c:v>
                </c:pt>
                <c:pt idx="28">
                  <c:v>Marke Meerschweinchen</c:v>
                </c:pt>
                <c:pt idx="29">
                  <c:v>cough</c:v>
                </c:pt>
                <c:pt idx="30">
                  <c:v>not a fitting case</c:v>
                </c:pt>
                <c:pt idx="31">
                  <c:v>peronal information</c:v>
                </c:pt>
                <c:pt idx="32">
                  <c:v>Aufzählung</c:v>
                </c:pt>
                <c:pt idx="33">
                  <c:v>also raus</c:v>
                </c:pt>
                <c:pt idx="34">
                  <c:v>intentional FP</c:v>
                </c:pt>
                <c:pt idx="35">
                  <c:v>too many numbers</c:v>
                </c:pt>
                <c:pt idx="36">
                  <c:v>late correction</c:v>
                </c:pt>
                <c:pt idx="37">
                  <c:v>active speech</c:v>
                </c:pt>
              </c:strCache>
            </c:strRef>
          </c:cat>
          <c:val>
            <c:numRef>
              <c:f>Statistics!$I$64:$I$101</c:f>
              <c:numCache>
                <c:formatCode>General</c:formatCode>
                <c:ptCount val="38"/>
                <c:pt idx="0">
                  <c:v>74</c:v>
                </c:pt>
                <c:pt idx="1">
                  <c:v>50</c:v>
                </c:pt>
                <c:pt idx="2">
                  <c:v>49</c:v>
                </c:pt>
                <c:pt idx="3">
                  <c:v>40</c:v>
                </c:pt>
                <c:pt idx="4">
                  <c:v>39</c:v>
                </c:pt>
                <c:pt idx="5">
                  <c:v>36</c:v>
                </c:pt>
                <c:pt idx="6">
                  <c:v>30</c:v>
                </c:pt>
                <c:pt idx="7">
                  <c:v>27</c:v>
                </c:pt>
                <c:pt idx="8">
                  <c:v>25</c:v>
                </c:pt>
                <c:pt idx="9">
                  <c:v>21</c:v>
                </c:pt>
                <c:pt idx="10">
                  <c:v>12</c:v>
                </c:pt>
                <c:pt idx="11">
                  <c:v>9</c:v>
                </c:pt>
                <c:pt idx="12">
                  <c:v>8</c:v>
                </c:pt>
                <c:pt idx="13">
                  <c:v>8</c:v>
                </c:pt>
                <c:pt idx="14">
                  <c:v>7</c:v>
                </c:pt>
                <c:pt idx="15">
                  <c:v>7</c:v>
                </c:pt>
                <c:pt idx="16">
                  <c:v>7</c:v>
                </c:pt>
                <c:pt idx="17">
                  <c:v>6</c:v>
                </c:pt>
                <c:pt idx="18">
                  <c:v>4</c:v>
                </c:pt>
                <c:pt idx="19">
                  <c:v>3</c:v>
                </c:pt>
                <c:pt idx="20">
                  <c:v>3</c:v>
                </c:pt>
                <c:pt idx="21">
                  <c:v>3</c:v>
                </c:pt>
                <c:pt idx="22">
                  <c:v>2</c:v>
                </c:pt>
                <c:pt idx="23">
                  <c:v>2</c:v>
                </c:pt>
                <c:pt idx="24">
                  <c:v>2</c:v>
                </c:pt>
                <c:pt idx="25">
                  <c:v>2</c:v>
                </c:pt>
                <c:pt idx="26">
                  <c:v>2</c:v>
                </c:pt>
                <c:pt idx="27">
                  <c:v>2</c:v>
                </c:pt>
                <c:pt idx="28">
                  <c:v>1</c:v>
                </c:pt>
                <c:pt idx="29">
                  <c:v>1</c:v>
                </c:pt>
                <c:pt idx="30">
                  <c:v>1</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D72C-4992-B641-DAF76BB73D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Difluencies over time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Calibri"/>
            </a:rPr>
            <a:t>Difluencies over time</a:t>
          </a:r>
        </a:p>
      </cx:txPr>
    </cx:title>
    <cx:plotArea>
      <cx:plotAreaRegion>
        <cx:series layoutId="clusteredColumn" uniqueId="{83EE1893-BC25-4780-813A-7ADFA294663D}">
          <cx:tx>
            <cx:txData>
              <cx:f>_xlchart.v1.0</cx:f>
              <cx:v>Start time</cx:v>
            </cx:txData>
          </cx:tx>
          <cx:dataLabels pos="outEnd">
            <cx:visibility seriesName="0" categoryName="0" value="1"/>
          </cx:dataLabels>
          <cx:dataId val="0"/>
          <cx:layoutPr>
            <cx:binning intervalClosed="r"/>
          </cx:layoutPr>
        </cx:series>
      </cx:plotAreaRegion>
      <cx:axis id="0">
        <cx:catScaling gapWidth="0"/>
        <cx:majorTickMarks type="out"/>
        <cx:tickLabels/>
      </cx:axis>
      <cx:axis id="1" hidden="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628650</xdr:colOff>
      <xdr:row>1</xdr:row>
      <xdr:rowOff>109537</xdr:rowOff>
    </xdr:from>
    <xdr:to>
      <xdr:col>16</xdr:col>
      <xdr:colOff>628650</xdr:colOff>
      <xdr:row>15</xdr:row>
      <xdr:rowOff>185737</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28FE1D3F-C1E3-152C-17D5-05AC8C21E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05950" y="300037"/>
              <a:ext cx="4572000" cy="27432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10</xdr:col>
      <xdr:colOff>647699</xdr:colOff>
      <xdr:row>17</xdr:row>
      <xdr:rowOff>76200</xdr:rowOff>
    </xdr:from>
    <xdr:to>
      <xdr:col>21</xdr:col>
      <xdr:colOff>523874</xdr:colOff>
      <xdr:row>52</xdr:row>
      <xdr:rowOff>119062</xdr:rowOff>
    </xdr:to>
    <xdr:graphicFrame macro="">
      <xdr:nvGraphicFramePr>
        <xdr:cNvPr id="3" name="Diagramm 2">
          <a:extLst>
            <a:ext uri="{FF2B5EF4-FFF2-40B4-BE49-F238E27FC236}">
              <a16:creationId xmlns:a16="http://schemas.microsoft.com/office/drawing/2014/main" id="{B57D3AE7-61C9-499D-E11C-482A86E27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09D6-EFCB-479B-A7D9-680B74EB0919}" name="Tabelle1" displayName="Tabelle1" ref="A1:AF1048576" totalsRowShown="0" headerRowDxfId="2" headerRowBorderDxfId="1" tableBorderDxfId="0">
  <autoFilter ref="A1:AF1048576" xr:uid="{EA6409D6-EFCB-479B-A7D9-680B74EB0919}">
    <filterColumn colId="1">
      <filters blank="1"/>
    </filterColumn>
    <filterColumn colId="8">
      <filters>
        <filter val="yes"/>
      </filters>
    </filterColumn>
    <filterColumn colId="16">
      <filters>
        <filter val="4"/>
      </filters>
    </filterColumn>
  </autoFilter>
  <sortState xmlns:xlrd2="http://schemas.microsoft.com/office/spreadsheetml/2017/richdata2" ref="A6:AF429">
    <sortCondition ref="B1:B1048576"/>
  </sortState>
  <tableColumns count="32">
    <tableColumn id="1" xr3:uid="{4B73013A-2C8A-4388-BCF8-DB5F97CBB31C}" name="Checknumber"/>
    <tableColumn id="22" xr3:uid="{ABF8213D-B5E9-48B1-91F7-A932E7864969}" name="ChunkID"/>
    <tableColumn id="2" xr3:uid="{49E7A3F3-CD35-4E28-888E-D1A200F980D9}" name="Speaker"/>
    <tableColumn id="3" xr3:uid="{0F946149-DCC0-46F0-8BC9-C4573C9C1E19}" name="Label"/>
    <tableColumn id="4" xr3:uid="{254A2FC7-CF00-401A-A925-AF0BD2419ED7}" name="Count"/>
    <tableColumn id="5" xr3:uid="{2699AB7A-E979-4E67-BB92-A1A2A0DF3FFD}" name="Start time"/>
    <tableColumn id="6" xr3:uid="{5ACF2E4E-D55F-4392-B4A4-D3D335D6DF42}" name="End time"/>
    <tableColumn id="7" xr3:uid="{524F4428-F53A-4E29-B82B-B8F6194EE929}" name="WAV_Link"/>
    <tableColumn id="8" xr3:uid="{8F7D6DE0-577B-499C-A308-2A55571DD291}" name="Valid"/>
    <tableColumn id="9" xr3:uid="{091D37CA-F533-41A4-B310-28484F930C35}" name="Reason"/>
    <tableColumn id="10" xr3:uid="{69CC0A67-C3D5-4D2E-9CBC-63519F836CFA}" name="Close to"/>
    <tableColumn id="11" xr3:uid="{91905DF6-3F8A-4FA2-9F02-46316A3D5323}" name="Glued"/>
    <tableColumn id="12" xr3:uid="{01C306DD-957D-47A3-B117-89D8AD302967}" name="Other DF"/>
    <tableColumn id="13" xr3:uid="{AC706EF3-4E51-4A46-A522-1257B322BB9C}" name="Multi-FP"/>
    <tableColumn id="14" xr3:uid="{92B3DA35-87E8-43C4-AD23-57F3ABD12DE9}" name="FP-length"/>
    <tableColumn id="15" xr3:uid="{780B27A6-9EBB-4307-9D99-6EA93361DE30}" name="Struct. cont."/>
    <tableColumn id="19" xr3:uid="{FDBC4D78-AFCA-49A9-8B9F-B10ADFED760F}" name="Dis. type"/>
    <tableColumn id="20" xr3:uid="{3B5727E6-3057-4D0B-B467-A8A2EBFB1ED9}" name="Anneliese, HELP!"/>
    <tableColumn id="21" xr3:uid="{3AFB3E97-E91C-42FC-A6CC-B44880F09142}" name="ManualCorrectionOrtho"/>
    <tableColumn id="16" xr3:uid="{9A30DD9E-FBFB-4D7C-8A9D-59026E95E6A2}" name="Word2Word"/>
    <tableColumn id="17" xr3:uid="{C15BC006-E8BF-469E-B3B8-EDE0E8C65D49}" name="Phrase"/>
    <tableColumn id="18" xr3:uid="{0891D0B6-40FD-4A2A-9DA5-7E67823FA7F8}" name="PCOMP"/>
    <tableColumn id="24" xr3:uid="{DCCBBCBC-CE2E-49DA-9AD8-E66D3BA5E36F}" name="Korrigiert Ecki"/>
    <tableColumn id="25" xr3:uid="{4E2864BE-2527-43AC-94A3-7A60A779582A}" name="vorn_valid4exp"/>
    <tableColumn id="26" xr3:uid="{FC835F05-A251-4090-9609-26E0AECA2176}" name="vorn_mit"/>
    <tableColumn id="27" xr3:uid="{024BD496-B973-4150-A183-A6AB2F54A390}" name="vorn_ohne"/>
    <tableColumn id="31" xr3:uid="{AABBB9F3-C58C-4F5A-9D21-F0B391DFFC8C}" name="hinten_valid4exp"/>
    <tableColumn id="28" xr3:uid="{1BAAAB1D-7DAF-44CE-BB79-76D614F1E99E}" name="hinten_mit"/>
    <tableColumn id="32" xr3:uid="{8D388637-C482-40DC-8B24-6FFCDE63BAD7}" name="hinten_ohne"/>
    <tableColumn id="34" xr3:uid="{E44DCCD2-66CE-4264-8452-D2DD0C4B398D}" name="ganz_valid4exp"/>
    <tableColumn id="33" xr3:uid="{76EF27EE-DD9A-4D5B-8D25-5D0F37B606DB}" name="ganz_ohne"/>
    <tableColumn id="23" xr3:uid="{9C14C7F4-DA4E-45BA-81D2-AA1530A0B508}" name="ganz_m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TI_projekt_daten\Audio\039F_ahm_001.wav" TargetMode="External"/><Relationship Id="rId671" Type="http://schemas.openxmlformats.org/officeDocument/2006/relationships/hyperlink" Target="..\..\..\..\..\..\..\..\..\TI_projekt_daten\Audio\015M_&#228;hm_032.wav" TargetMode="External"/><Relationship Id="rId769" Type="http://schemas.openxmlformats.org/officeDocument/2006/relationships/hyperlink" Target="../../../../../../../../../TI_projekt_daten/Audio/016M_ahm_042.wav" TargetMode="External"/><Relationship Id="rId21" Type="http://schemas.openxmlformats.org/officeDocument/2006/relationships/hyperlink" Target="..\..\..\..\..\..\..\..\..\TI_projekt_daten\Audio\016M_&#228;hm_005.wav" TargetMode="External"/><Relationship Id="rId324" Type="http://schemas.openxmlformats.org/officeDocument/2006/relationships/hyperlink" Target="../../../../../../../../../TI_projekt_daten/Audio/014M_ahm_010.wav" TargetMode="External"/><Relationship Id="rId531" Type="http://schemas.openxmlformats.org/officeDocument/2006/relationships/hyperlink" Target="../../../../../../../../../TI_projekt_daten/Audio/022F_&#228;h_007.wav" TargetMode="External"/><Relationship Id="rId629" Type="http://schemas.openxmlformats.org/officeDocument/2006/relationships/hyperlink" Target="../../../../../../../../../TI_projekt_daten/Audio/031F_&#228;hm_004.wav" TargetMode="External"/><Relationship Id="rId170" Type="http://schemas.openxmlformats.org/officeDocument/2006/relationships/hyperlink" Target="../../../../../../../../../TI_projekt_daten/Audio/014M_&#228;h_004.wav" TargetMode="External"/><Relationship Id="rId268" Type="http://schemas.openxmlformats.org/officeDocument/2006/relationships/hyperlink" Target="..\..\..\..\..\..\..\..\..\TI_projekt_daten\Audio\024F_ahm_010.wav" TargetMode="External"/><Relationship Id="rId475" Type="http://schemas.openxmlformats.org/officeDocument/2006/relationships/hyperlink" Target="../../../../../../../../../TI_projekt_daten/Audio/032F_&#228;h_004.wav" TargetMode="External"/><Relationship Id="rId682" Type="http://schemas.openxmlformats.org/officeDocument/2006/relationships/hyperlink" Target="../../../../../../../../../TI_projekt_daten/Audio/025F_&#228;h_006.wav" TargetMode="External"/><Relationship Id="rId32" Type="http://schemas.openxmlformats.org/officeDocument/2006/relationships/hyperlink" Target="..\..\..\..\..\..\..\..\..\TI_projekt_daten\Audio\038F_&#228;h_002.wav" TargetMode="External"/><Relationship Id="rId128" Type="http://schemas.openxmlformats.org/officeDocument/2006/relationships/hyperlink" Target="../../../../../../../../../TI_projekt_daten/Audio/003M_&#228;h_006.wav" TargetMode="External"/><Relationship Id="rId335" Type="http://schemas.openxmlformats.org/officeDocument/2006/relationships/hyperlink" Target="../../../../../../../../../TI_projekt_daten/Audio/015M_&#228;h_024.wav" TargetMode="External"/><Relationship Id="rId542" Type="http://schemas.openxmlformats.org/officeDocument/2006/relationships/hyperlink" Target="../../../../../../../../../TI_projekt_daten/Audio/032F_&#228;h_005.wav" TargetMode="External"/><Relationship Id="rId181" Type="http://schemas.openxmlformats.org/officeDocument/2006/relationships/hyperlink" Target="../../../../../../../../../TI_projekt_daten/Audio/028F_&#228;hm_006.wav" TargetMode="External"/><Relationship Id="rId402" Type="http://schemas.openxmlformats.org/officeDocument/2006/relationships/hyperlink" Target="..\..\..\..\..\..\..\..\..\TI_projekt_daten\Audio\030F_&#228;h_005.wav" TargetMode="External"/><Relationship Id="rId279" Type="http://schemas.openxmlformats.org/officeDocument/2006/relationships/hyperlink" Target="../../../../../../../../../TI_projekt_daten/Audio/006M_&#228;h_009.wav" TargetMode="External"/><Relationship Id="rId486" Type="http://schemas.openxmlformats.org/officeDocument/2006/relationships/hyperlink" Target="..\..\..\..\..\..\..\..\..\TI_projekt_daten\Audio\036F_&#228;hm_002.wav" TargetMode="External"/><Relationship Id="rId693" Type="http://schemas.openxmlformats.org/officeDocument/2006/relationships/hyperlink" Target="../../../../../../../../../TI_projekt_daten/Audio/016M_&#228;hm_017.wav" TargetMode="External"/><Relationship Id="rId707" Type="http://schemas.openxmlformats.org/officeDocument/2006/relationships/hyperlink" Target="../../../../../../../../../TI_projekt_daten/Audio/015M_ahm_011.wav" TargetMode="External"/><Relationship Id="rId43" Type="http://schemas.openxmlformats.org/officeDocument/2006/relationships/hyperlink" Target="..\..\..\..\..\..\..\..\..\TI_projekt_daten\Audio\001M_ahm_003.wav" TargetMode="External"/><Relationship Id="rId139" Type="http://schemas.openxmlformats.org/officeDocument/2006/relationships/hyperlink" Target="..\..\..\..\..\..\..\..\..\TI_projekt_daten\Audio\022F_&#228;h_002.wav" TargetMode="External"/><Relationship Id="rId346" Type="http://schemas.openxmlformats.org/officeDocument/2006/relationships/hyperlink" Target="../../../../../../../../../TI_projekt_daten/Audio/017M_&#228;h_010.wav" TargetMode="External"/><Relationship Id="rId553" Type="http://schemas.openxmlformats.org/officeDocument/2006/relationships/hyperlink" Target="../../../../../../../../../TI_projekt_daten/Audio/015M_&#228;hm_024.wav" TargetMode="External"/><Relationship Id="rId760" Type="http://schemas.openxmlformats.org/officeDocument/2006/relationships/hyperlink" Target="../../../../../../../../../TI_projekt_daten/Audio/016M_ahm_040.wav" TargetMode="External"/><Relationship Id="rId192" Type="http://schemas.openxmlformats.org/officeDocument/2006/relationships/hyperlink" Target="../../../../../../../../../TI_projekt_daten/Audio/027F_ahm_001.wav" TargetMode="External"/><Relationship Id="rId206" Type="http://schemas.openxmlformats.org/officeDocument/2006/relationships/hyperlink" Target="..\..\..\..\..\..\..\..\..\TI_projekt_daten\Audio\024F_ahm_002.wav" TargetMode="External"/><Relationship Id="rId413" Type="http://schemas.openxmlformats.org/officeDocument/2006/relationships/hyperlink" Target="../../../../../../../../../TI_projekt_daten/Audio/005M_&#228;h_003.wav" TargetMode="External"/><Relationship Id="rId497" Type="http://schemas.openxmlformats.org/officeDocument/2006/relationships/hyperlink" Target="..\..\..\..\..\..\..\..\..\TI_projekt_daten\Audio\011M_&#228;h_003.wav" TargetMode="External"/><Relationship Id="rId620" Type="http://schemas.openxmlformats.org/officeDocument/2006/relationships/hyperlink" Target="../../../../../../../../../TI_projekt_daten/Audio/030F_ahm_015.wav" TargetMode="External"/><Relationship Id="rId718" Type="http://schemas.openxmlformats.org/officeDocument/2006/relationships/hyperlink" Target="../../../../../../../../../TI_projekt_daten/Audio/005M_&#228;h_020.wav" TargetMode="External"/><Relationship Id="rId357" Type="http://schemas.openxmlformats.org/officeDocument/2006/relationships/hyperlink" Target="../../../../../../../../../TI_projekt_daten/Audio/012M_ahm_010.wav" TargetMode="External"/><Relationship Id="rId54" Type="http://schemas.openxmlformats.org/officeDocument/2006/relationships/hyperlink" Target="..\..\..\..\..\..\..\..\..\TI_projekt_daten\Audio\023F_&#228;hm_002.wav" TargetMode="External"/><Relationship Id="rId217" Type="http://schemas.openxmlformats.org/officeDocument/2006/relationships/hyperlink" Target="../../../../../../../../../TI_projekt_daten/Audio/017M_&#228;h_008.wav" TargetMode="External"/><Relationship Id="rId564" Type="http://schemas.openxmlformats.org/officeDocument/2006/relationships/hyperlink" Target="../../../../../../../../../TI_projekt_daten/Audio/026F_ahm_007.wav" TargetMode="External"/><Relationship Id="rId771" Type="http://schemas.openxmlformats.org/officeDocument/2006/relationships/hyperlink" Target="../../../../../../../../../TI_projekt_daten/Audio/016M_ahm_044.wav" TargetMode="External"/><Relationship Id="rId424" Type="http://schemas.openxmlformats.org/officeDocument/2006/relationships/hyperlink" Target="../../../../../../../../../TI_projekt_daten/Audio/022F_ahm_002.wav" TargetMode="External"/><Relationship Id="rId631" Type="http://schemas.openxmlformats.org/officeDocument/2006/relationships/hyperlink" Target="../../../../../../../../../TI_projekt_daten/Audio/026F_&#228;h_008.wav" TargetMode="External"/><Relationship Id="rId729" Type="http://schemas.openxmlformats.org/officeDocument/2006/relationships/hyperlink" Target="../../../../../../../../../TI_projekt_daten/Audio/015M_&#228;hm_038.wav" TargetMode="External"/><Relationship Id="rId270" Type="http://schemas.openxmlformats.org/officeDocument/2006/relationships/hyperlink" Target="../../../../../../../../../TI_projekt_daten/Audio/024F_ahm_012.wav" TargetMode="External"/><Relationship Id="rId65" Type="http://schemas.openxmlformats.org/officeDocument/2006/relationships/hyperlink" Target="../../../../../../../../../TI_projekt_daten/Audio/003M_&#228;h_021.wav" TargetMode="External"/><Relationship Id="rId130" Type="http://schemas.openxmlformats.org/officeDocument/2006/relationships/hyperlink" Target="../../../../../../../../../TI_projekt_daten/Audio/018M_&#228;hm_001.wav" TargetMode="External"/><Relationship Id="rId368" Type="http://schemas.openxmlformats.org/officeDocument/2006/relationships/hyperlink" Target="../../../../../../../../../TI_projekt_daten/Audio/030F_ahm_005.wav" TargetMode="External"/><Relationship Id="rId575" Type="http://schemas.openxmlformats.org/officeDocument/2006/relationships/hyperlink" Target="../../../../../../../../../TI_projekt_daten/Audio/005M_&#228;hm_007.wav" TargetMode="External"/><Relationship Id="rId782" Type="http://schemas.openxmlformats.org/officeDocument/2006/relationships/hyperlink" Target="../../../../../../../../../TI_projekt_daten/Audio/038F_&#228;hm_009.wav" TargetMode="External"/><Relationship Id="rId228" Type="http://schemas.openxmlformats.org/officeDocument/2006/relationships/hyperlink" Target="..\..\..\..\..\..\..\..\..\TI_projekt_daten\Audio\012M_ahm_007.wav" TargetMode="External"/><Relationship Id="rId435" Type="http://schemas.openxmlformats.org/officeDocument/2006/relationships/hyperlink" Target="../../../../../../../../../TI_projekt_daten/Audio/016M_ahm_015.wav" TargetMode="External"/><Relationship Id="rId642" Type="http://schemas.openxmlformats.org/officeDocument/2006/relationships/hyperlink" Target="../../../../../../../../../TI_projekt_daten/Audio/026F_&#228;h_009.wav" TargetMode="External"/><Relationship Id="rId281" Type="http://schemas.openxmlformats.org/officeDocument/2006/relationships/hyperlink" Target="..\..\..\..\..\..\..\..\..\TI_projekt_daten\Audio\006M_&#228;h_011.wav" TargetMode="External"/><Relationship Id="rId502" Type="http://schemas.openxmlformats.org/officeDocument/2006/relationships/hyperlink" Target="../../../../../../../../../TI_projekt_daten/Audio/039F_&#228;hm_004.wav" TargetMode="External"/><Relationship Id="rId76" Type="http://schemas.openxmlformats.org/officeDocument/2006/relationships/hyperlink" Target="../../../../../../../../../TI_projekt_daten/Audio/009M_&#228;h_001.wav" TargetMode="External"/><Relationship Id="rId141" Type="http://schemas.openxmlformats.org/officeDocument/2006/relationships/hyperlink" Target="../../../../../../../../../TI_projekt_daten/Audio/022F_&#228;h_003.wav" TargetMode="External"/><Relationship Id="rId379" Type="http://schemas.openxmlformats.org/officeDocument/2006/relationships/hyperlink" Target="../../../../../../../../../TI_projekt_daten/Audio/003M_&#228;h_020.wav" TargetMode="External"/><Relationship Id="rId586" Type="http://schemas.openxmlformats.org/officeDocument/2006/relationships/hyperlink" Target="../../../../../../../../../TI_projekt_daten/Audio/030F_&#228;h_007.wav" TargetMode="External"/><Relationship Id="rId793" Type="http://schemas.openxmlformats.org/officeDocument/2006/relationships/hyperlink" Target="../../../../../../../../../TI_projekt_daten/Audio/005M_&#228;h_022.wav" TargetMode="External"/><Relationship Id="rId807" Type="http://schemas.openxmlformats.org/officeDocument/2006/relationships/hyperlink" Target="../../../../../../../../../TI_projekt_daten/Audio/014M_ahm_002.wav" TargetMode="External"/><Relationship Id="rId7" Type="http://schemas.openxmlformats.org/officeDocument/2006/relationships/hyperlink" Target="..\..\..\..\..\..\..\..\..\TI_projekt_daten\Audio\003M_&#228;h_003.wav" TargetMode="External"/><Relationship Id="rId239" Type="http://schemas.openxmlformats.org/officeDocument/2006/relationships/hyperlink" Target="..\..\..\..\..\..\..\..\..\TI_projekt_daten\Audio\011M_&#228;hm_002.wav" TargetMode="External"/><Relationship Id="rId446" Type="http://schemas.openxmlformats.org/officeDocument/2006/relationships/hyperlink" Target="../../../../../../../../../TI_projekt_daten/Audio/026F_ahm_003.wav" TargetMode="External"/><Relationship Id="rId653" Type="http://schemas.openxmlformats.org/officeDocument/2006/relationships/hyperlink" Target="../../../../../../../../../TI_projekt_daten/Audio/015M_&#228;h_053.wav" TargetMode="External"/><Relationship Id="rId292" Type="http://schemas.openxmlformats.org/officeDocument/2006/relationships/hyperlink" Target="../../../../../../../../../TI_projekt_daten/Audio/009M_&#228;h_010.wav" TargetMode="External"/><Relationship Id="rId306" Type="http://schemas.openxmlformats.org/officeDocument/2006/relationships/hyperlink" Target="..\..\..\..\..\..\..\..\..\TI_projekt_daten\Audio\013M_&#228;h_002.wav" TargetMode="External"/><Relationship Id="rId87" Type="http://schemas.openxmlformats.org/officeDocument/2006/relationships/hyperlink" Target="..\..\..\..\..\..\..\..\..\TI_projekt_daten\Audio\026F_&#228;hm_001.wav" TargetMode="External"/><Relationship Id="rId513" Type="http://schemas.openxmlformats.org/officeDocument/2006/relationships/hyperlink" Target="../../../../../../../../../TI_projekt_daten/Audio/016M_&#228;h_009.wav" TargetMode="External"/><Relationship Id="rId597" Type="http://schemas.openxmlformats.org/officeDocument/2006/relationships/hyperlink" Target="../../../../../../../../../TI_projekt_daten/Audio/004M_&#228;h_005.wav" TargetMode="External"/><Relationship Id="rId720" Type="http://schemas.openxmlformats.org/officeDocument/2006/relationships/hyperlink" Target="..\..\..\..\..\..\..\..\..\TI_projekt_daten\Audio\037F_ahm_015.wav" TargetMode="External"/><Relationship Id="rId818" Type="http://schemas.openxmlformats.org/officeDocument/2006/relationships/hyperlink" Target="../../../../../../../../../TI_projekt_daten/Audio/002M_&#228;h_012.wav" TargetMode="External"/><Relationship Id="rId152" Type="http://schemas.openxmlformats.org/officeDocument/2006/relationships/hyperlink" Target="..\..\..\..\..\..\..\..\..\TI_projekt_daten\Audio\015M_&#228;hm_009.wav" TargetMode="External"/><Relationship Id="rId457" Type="http://schemas.openxmlformats.org/officeDocument/2006/relationships/hyperlink" Target="../../../../../../../../../TI_projekt_daten/Audio/026F_ahm_004.wav" TargetMode="External"/><Relationship Id="rId664" Type="http://schemas.openxmlformats.org/officeDocument/2006/relationships/hyperlink" Target="..\..\..\..\..\..\..\..\..\TI_projekt_daten\Audio\015M_&#228;hm_030.wav" TargetMode="External"/><Relationship Id="rId14" Type="http://schemas.openxmlformats.org/officeDocument/2006/relationships/hyperlink" Target="..\..\..\..\..\..\..\..\..\TI_projekt_daten\Audio\038F_&#228;hm_001.wav" TargetMode="External"/><Relationship Id="rId317" Type="http://schemas.openxmlformats.org/officeDocument/2006/relationships/hyperlink" Target="..\..\..\..\..\..\..\..\..\TI_projekt_daten\Audio\014M_&#228;h_010.wav" TargetMode="External"/><Relationship Id="rId524" Type="http://schemas.openxmlformats.org/officeDocument/2006/relationships/hyperlink" Target="../../../../../../../../../TI_projekt_daten/Audio/037F_&#228;h_006.wav" TargetMode="External"/><Relationship Id="rId731" Type="http://schemas.openxmlformats.org/officeDocument/2006/relationships/hyperlink" Target="../../../../../../../../../TI_projekt_daten/Audio/028F_ahm_005.wav" TargetMode="External"/><Relationship Id="rId98" Type="http://schemas.openxmlformats.org/officeDocument/2006/relationships/hyperlink" Target="../../../../../../../../../TI_projekt_daten/Audio/016M_&#228;hm_003.wav" TargetMode="External"/><Relationship Id="rId163" Type="http://schemas.openxmlformats.org/officeDocument/2006/relationships/hyperlink" Target="../../../../../../../../../TI_projekt_daten/Audio/012M_&#228;h_010.wav" TargetMode="External"/><Relationship Id="rId370" Type="http://schemas.openxmlformats.org/officeDocument/2006/relationships/hyperlink" Target="../../../../../../../../../TI_projekt_daten/Audio/030F_&#228;h_004.wav" TargetMode="External"/><Relationship Id="rId230" Type="http://schemas.openxmlformats.org/officeDocument/2006/relationships/hyperlink" Target="..\..\..\..\..\..\..\..\..\TI_projekt_daten\Audio\038F_&#228;hm_006.wav" TargetMode="External"/><Relationship Id="rId468" Type="http://schemas.openxmlformats.org/officeDocument/2006/relationships/hyperlink" Target="../../../../../../../../../TI_projekt_daten/Audio/016M_ahm_019.wav" TargetMode="External"/><Relationship Id="rId675" Type="http://schemas.openxmlformats.org/officeDocument/2006/relationships/hyperlink" Target="../../../../../../../../../TI_projekt_daten/Audio/035F_&#228;h_006.wav" TargetMode="External"/><Relationship Id="rId25" Type="http://schemas.openxmlformats.org/officeDocument/2006/relationships/hyperlink" Target="..\..\..\..\..\..\..\..\..\TI_projekt_daten\Audio\022F_&#228;h_001.wav" TargetMode="External"/><Relationship Id="rId328" Type="http://schemas.openxmlformats.org/officeDocument/2006/relationships/hyperlink" Target="../../../../../../../../../TI_projekt_daten/Audio/014M_ahm_014.wav" TargetMode="External"/><Relationship Id="rId535" Type="http://schemas.openxmlformats.org/officeDocument/2006/relationships/hyperlink" Target="../../../../../../../../../TI_projekt_daten/Audio/038F_ahm_013.wav" TargetMode="External"/><Relationship Id="rId742" Type="http://schemas.openxmlformats.org/officeDocument/2006/relationships/hyperlink" Target="../../../../../../../../../TI_projekt_daten/Audio/016M_ahm_032.wav" TargetMode="External"/><Relationship Id="rId174" Type="http://schemas.openxmlformats.org/officeDocument/2006/relationships/hyperlink" Target="../../../../../../../../../TI_projekt_daten/Audio/012M_&#228;h_012.wav" TargetMode="External"/><Relationship Id="rId381" Type="http://schemas.openxmlformats.org/officeDocument/2006/relationships/hyperlink" Target="..\..\..\..\..\..\..\..\..\TI_projekt_daten\Audio\002M_&#228;hm_001.wav" TargetMode="External"/><Relationship Id="rId602" Type="http://schemas.openxmlformats.org/officeDocument/2006/relationships/hyperlink" Target="../../../../../../../../../TI_projekt_daten/Audio/015M_&#228;h_046.wav" TargetMode="External"/><Relationship Id="rId241" Type="http://schemas.openxmlformats.org/officeDocument/2006/relationships/hyperlink" Target="..\..\..\..\..\..\..\..\..\TI_projekt_daten\Audio\025F_&#228;hm_001.wav" TargetMode="External"/><Relationship Id="rId479" Type="http://schemas.openxmlformats.org/officeDocument/2006/relationships/hyperlink" Target="../../../../../../../../../TI_projekt_daten/Audio/017M_&#228;h_018.wav" TargetMode="External"/><Relationship Id="rId686" Type="http://schemas.openxmlformats.org/officeDocument/2006/relationships/hyperlink" Target="../../../../../../../../../TI_projekt_daten/Audio/021F_&#228;h_012.wav" TargetMode="External"/><Relationship Id="rId36" Type="http://schemas.openxmlformats.org/officeDocument/2006/relationships/hyperlink" Target="..\..\..\..\..\..\..\..\..\TI_projekt_daten\Audio\023F_&#228;h_001.wav" TargetMode="External"/><Relationship Id="rId339" Type="http://schemas.openxmlformats.org/officeDocument/2006/relationships/hyperlink" Target="../../../../../../../../../TI_projekt_daten/Audio/015M_&#228;h_028.wav" TargetMode="External"/><Relationship Id="rId546" Type="http://schemas.openxmlformats.org/officeDocument/2006/relationships/hyperlink" Target="..\..\..\..\..\..\..\..\..\TI_projekt_daten\Audio\028F_&#228;hm_013.wav" TargetMode="External"/><Relationship Id="rId753" Type="http://schemas.openxmlformats.org/officeDocument/2006/relationships/hyperlink" Target="../../../../../../../../../TI_projekt_daten/Audio/016M_ahm_036.wav" TargetMode="External"/><Relationship Id="rId101" Type="http://schemas.openxmlformats.org/officeDocument/2006/relationships/hyperlink" Target="..\..\..\..\..\..\..\..\..\TI_projekt_daten\Audio\014M_ahm_001.wav" TargetMode="External"/><Relationship Id="rId185" Type="http://schemas.openxmlformats.org/officeDocument/2006/relationships/hyperlink" Target="../../../../../../../../../TI_projekt_daten/Audio/016M_&#228;h_006.wav" TargetMode="External"/><Relationship Id="rId406" Type="http://schemas.openxmlformats.org/officeDocument/2006/relationships/hyperlink" Target="..\..\..\..\..\..\..\..\..\TI_projekt_daten\Audio\005M_&#228;hm_004.wav" TargetMode="External"/><Relationship Id="rId392" Type="http://schemas.openxmlformats.org/officeDocument/2006/relationships/hyperlink" Target="../../../../../../../../../TI_projekt_daten/Audio/039F_ahm_004.wav" TargetMode="External"/><Relationship Id="rId613" Type="http://schemas.openxmlformats.org/officeDocument/2006/relationships/hyperlink" Target="../../../../../../../../../TI_projekt_daten/Audio/005M_&#228;h_013.wav" TargetMode="External"/><Relationship Id="rId697" Type="http://schemas.openxmlformats.org/officeDocument/2006/relationships/hyperlink" Target="..\..\..\..\..\..\..\..\..\TI_projekt_daten\Audio\028F_&#228;h_006.wav" TargetMode="External"/><Relationship Id="rId820" Type="http://schemas.openxmlformats.org/officeDocument/2006/relationships/hyperlink" Target="../../../../../../../../../TI_projekt_daten/Audio/002M_&#228;hm_004.wav" TargetMode="External"/><Relationship Id="rId252" Type="http://schemas.openxmlformats.org/officeDocument/2006/relationships/hyperlink" Target="..\..\..\..\..\..\..\..\..\TI_projekt_daten\Audio\019M_&#228;h_002.wav" TargetMode="External"/><Relationship Id="rId47" Type="http://schemas.openxmlformats.org/officeDocument/2006/relationships/hyperlink" Target="..\..\..\..\..\..\..\..\..\TI_projekt_daten\Audio\023F_&#228;h_002.wav" TargetMode="External"/><Relationship Id="rId112" Type="http://schemas.openxmlformats.org/officeDocument/2006/relationships/hyperlink" Target="..\..\..\..\..\..\..\..\..\TI_projekt_daten\Audio\017M_&#228;h_003.wav" TargetMode="External"/><Relationship Id="rId557" Type="http://schemas.openxmlformats.org/officeDocument/2006/relationships/hyperlink" Target="../../../../../../../../../TI_projekt_daten/Audio/026F_&#228;h_004.wav" TargetMode="External"/><Relationship Id="rId764" Type="http://schemas.openxmlformats.org/officeDocument/2006/relationships/hyperlink" Target="../../../../../../../../../TI_projekt_daten/Audio/028F_&#228;h_007.wav" TargetMode="External"/><Relationship Id="rId196" Type="http://schemas.openxmlformats.org/officeDocument/2006/relationships/hyperlink" Target="..\..\..\..\..\..\..\..\..\TI_projekt_daten\Audio\016M_&#228;hm_011.wav" TargetMode="External"/><Relationship Id="rId417" Type="http://schemas.openxmlformats.org/officeDocument/2006/relationships/hyperlink" Target="../../../../../../../../../TI_projekt_daten/Audio/038F_ahm_008.wav" TargetMode="External"/><Relationship Id="rId624" Type="http://schemas.openxmlformats.org/officeDocument/2006/relationships/hyperlink" Target="../../../../../../../../../TI_projekt_daten/Audio/027F_&#228;h_003.wav" TargetMode="External"/><Relationship Id="rId263" Type="http://schemas.openxmlformats.org/officeDocument/2006/relationships/hyperlink" Target="..\..\..\..\..\..\..\..\..\TI_projekt_daten\Audio\024F_ahm_005.wav" TargetMode="External"/><Relationship Id="rId470" Type="http://schemas.openxmlformats.org/officeDocument/2006/relationships/hyperlink" Target="../../../../../../../../../TI_projekt_daten/Audio/016M_ahm_020.wav" TargetMode="External"/><Relationship Id="rId58" Type="http://schemas.openxmlformats.org/officeDocument/2006/relationships/hyperlink" Target="..\..\..\..\..\..\..\..\..\TI_projekt_daten\Audio\002M_&#228;h_009.wav" TargetMode="External"/><Relationship Id="rId123" Type="http://schemas.openxmlformats.org/officeDocument/2006/relationships/hyperlink" Target="../../../../../../../../../TI_projekt_daten/Audio/001M_&#228;h_001.wav" TargetMode="External"/><Relationship Id="rId330" Type="http://schemas.openxmlformats.org/officeDocument/2006/relationships/hyperlink" Target="../../../../../../../../../TI_projekt_daten/Audio/015M_&#228;h_019.wav" TargetMode="External"/><Relationship Id="rId568" Type="http://schemas.openxmlformats.org/officeDocument/2006/relationships/hyperlink" Target="../../../../../../../../../TI_projekt_daten/Audio/016M_ahm_025.wav" TargetMode="External"/><Relationship Id="rId775" Type="http://schemas.openxmlformats.org/officeDocument/2006/relationships/hyperlink" Target="../../../../../../../../../TI_projekt_daten/Audio/008M_ahm_003.wav" TargetMode="External"/><Relationship Id="rId428" Type="http://schemas.openxmlformats.org/officeDocument/2006/relationships/hyperlink" Target="../../../../../../../../../TI_projekt_daten/Audio/011M_&#228;h_001.wav" TargetMode="External"/><Relationship Id="rId635" Type="http://schemas.openxmlformats.org/officeDocument/2006/relationships/hyperlink" Target="../../../../../../../../../TI_projekt_daten/Audio/022F_&#228;h_008.wav" TargetMode="External"/><Relationship Id="rId274" Type="http://schemas.openxmlformats.org/officeDocument/2006/relationships/hyperlink" Target="../../../../../../../../../TI_projekt_daten/Audio/006M_&#228;h_004.wav" TargetMode="External"/><Relationship Id="rId481" Type="http://schemas.openxmlformats.org/officeDocument/2006/relationships/hyperlink" Target="../../../../../../../../../TI_projekt_daten/Audio/036F_&#228;h_011.wav" TargetMode="External"/><Relationship Id="rId702" Type="http://schemas.openxmlformats.org/officeDocument/2006/relationships/hyperlink" Target="../../../../../../../../../TI_projekt_daten/Audio/018M_&#228;hm_003.wav" TargetMode="External"/><Relationship Id="rId69" Type="http://schemas.openxmlformats.org/officeDocument/2006/relationships/hyperlink" Target="../../../../../../../../../TI_projekt_daten/Audio/023F_ahm_004.wav" TargetMode="External"/><Relationship Id="rId134" Type="http://schemas.openxmlformats.org/officeDocument/2006/relationships/hyperlink" Target="..\..\..\..\..\..\..\..\..\TI_projekt_daten\Audio\015M_&#228;hm_007.wav" TargetMode="External"/><Relationship Id="rId579" Type="http://schemas.openxmlformats.org/officeDocument/2006/relationships/hyperlink" Target="../../../../../../../../../TI_projekt_daten/Audio/036F_&#228;h_014.wav" TargetMode="External"/><Relationship Id="rId786" Type="http://schemas.openxmlformats.org/officeDocument/2006/relationships/hyperlink" Target="../../../../../../../../../TI_projekt_daten/Audio/005M_&#228;hm_015.wav" TargetMode="External"/><Relationship Id="rId341" Type="http://schemas.openxmlformats.org/officeDocument/2006/relationships/hyperlink" Target="../../../../../../../../../TI_projekt_daten/Audio/012M_&#228;h_015.wav" TargetMode="External"/><Relationship Id="rId439" Type="http://schemas.openxmlformats.org/officeDocument/2006/relationships/hyperlink" Target="..\..\..\..\..\..\..\..\..\TI_projekt_daten\Audio\031F_&#228;hm_002.wav" TargetMode="External"/><Relationship Id="rId646" Type="http://schemas.openxmlformats.org/officeDocument/2006/relationships/hyperlink" Target="..\..\..\..\..\..\..\..\..\TI_projekt_daten\Audio\037F_&#228;h_010.wav" TargetMode="External"/><Relationship Id="rId201" Type="http://schemas.openxmlformats.org/officeDocument/2006/relationships/hyperlink" Target="..\..\..\..\..\..\..\..\..\TI_projekt_daten\Audio\032F_&#228;h_001.wav" TargetMode="External"/><Relationship Id="rId285" Type="http://schemas.openxmlformats.org/officeDocument/2006/relationships/hyperlink" Target="..\..\..\..\..\..\..\..\..\TI_projekt_daten\Audio\009M_&#228;h_003.wav" TargetMode="External"/><Relationship Id="rId506" Type="http://schemas.openxmlformats.org/officeDocument/2006/relationships/hyperlink" Target="../../../../../../../../../TI_projekt_daten/Audio/015M_&#228;h_030.wav" TargetMode="External"/><Relationship Id="rId492" Type="http://schemas.openxmlformats.org/officeDocument/2006/relationships/hyperlink" Target="..\..\..\..\..\..\..\..\..\TI_projekt_daten\Audio\004M_ahm_001.wav" TargetMode="External"/><Relationship Id="rId713" Type="http://schemas.openxmlformats.org/officeDocument/2006/relationships/hyperlink" Target="../../../../../../../../../TI_projekt_daten/Audio/031F_&#228;h_002.wav" TargetMode="External"/><Relationship Id="rId797" Type="http://schemas.openxmlformats.org/officeDocument/2006/relationships/hyperlink" Target="../../../../../../../../../TI_projekt_daten/Audio/016M_ahm_047.wav" TargetMode="External"/><Relationship Id="rId145" Type="http://schemas.openxmlformats.org/officeDocument/2006/relationships/hyperlink" Target="../../../../../../../../../TI_projekt_daten/Audio/008M_ahm_001.wav" TargetMode="External"/><Relationship Id="rId352" Type="http://schemas.openxmlformats.org/officeDocument/2006/relationships/hyperlink" Target="../../../../../../../../../TI_projekt_daten/Audio/012M_&#228;h_017.wav" TargetMode="External"/><Relationship Id="rId212" Type="http://schemas.openxmlformats.org/officeDocument/2006/relationships/hyperlink" Target="../../../../../../../../../TI_projekt_daten/Audio/006M_&#228;h_002.wav" TargetMode="External"/><Relationship Id="rId657" Type="http://schemas.openxmlformats.org/officeDocument/2006/relationships/hyperlink" Target="../../../../../../../../../TI_projekt_daten/Audio/005M_&#228;hm_009.wav" TargetMode="External"/><Relationship Id="rId296" Type="http://schemas.openxmlformats.org/officeDocument/2006/relationships/hyperlink" Target="../../../../../../../../../TI_projekt_daten/Audio/009M_ahm_003.wav" TargetMode="External"/><Relationship Id="rId517" Type="http://schemas.openxmlformats.org/officeDocument/2006/relationships/hyperlink" Target="..\..\..\..\..\..\..\..\..\TI_projekt_daten\Audio\017M_&#228;h_020.wav" TargetMode="External"/><Relationship Id="rId724" Type="http://schemas.openxmlformats.org/officeDocument/2006/relationships/hyperlink" Target="../../../../../../../../../TI_projekt_daten/Audio/008M_&#228;hm_003.wav" TargetMode="External"/><Relationship Id="rId60" Type="http://schemas.openxmlformats.org/officeDocument/2006/relationships/hyperlink" Target="../../../../../../../../../TI_projekt_daten/Audio/002M_&#228;hm_003.wav" TargetMode="External"/><Relationship Id="rId156" Type="http://schemas.openxmlformats.org/officeDocument/2006/relationships/hyperlink" Target="..\..\..\..\..\..\..\..\..\TI_projekt_daten\Audio\037F_&#228;h_001.wav" TargetMode="External"/><Relationship Id="rId363" Type="http://schemas.openxmlformats.org/officeDocument/2006/relationships/hyperlink" Target="..\..\..\..\..\..\..\..\..\TI_projekt_daten\Audio\039F_ahm_003.wav" TargetMode="External"/><Relationship Id="rId570" Type="http://schemas.openxmlformats.org/officeDocument/2006/relationships/hyperlink" Target="../../../../../../../../../TI_projekt_daten/Audio/017M_&#228;h_021.wav" TargetMode="External"/><Relationship Id="rId223" Type="http://schemas.openxmlformats.org/officeDocument/2006/relationships/hyperlink" Target="..\..\..\..\..\..\..\..\..\TI_projekt_daten\Audio\006M_&#228;h_003.wav" TargetMode="External"/><Relationship Id="rId430" Type="http://schemas.openxmlformats.org/officeDocument/2006/relationships/hyperlink" Target="../../../../../../../../../TI_projekt_daten/Audio/030F_ahm_007.wav" TargetMode="External"/><Relationship Id="rId668" Type="http://schemas.openxmlformats.org/officeDocument/2006/relationships/hyperlink" Target="../../../../../../../../../TI_projekt_daten/Audio/015M_&#228;hm_031.wav" TargetMode="External"/><Relationship Id="rId18" Type="http://schemas.openxmlformats.org/officeDocument/2006/relationships/hyperlink" Target="..\..\..\..\..\..\..\..\..\TI_projekt_daten\Audio\016M_ahm_001.wav" TargetMode="External"/><Relationship Id="rId528" Type="http://schemas.openxmlformats.org/officeDocument/2006/relationships/hyperlink" Target="../../../../../../../../../TI_projekt_daten/Audio/015M_&#228;h_035.wav" TargetMode="External"/><Relationship Id="rId735" Type="http://schemas.openxmlformats.org/officeDocument/2006/relationships/hyperlink" Target="../../../../../../../../../TI_projekt_daten/Audio/016M_&#228;h_014.wav" TargetMode="External"/><Relationship Id="rId167" Type="http://schemas.openxmlformats.org/officeDocument/2006/relationships/hyperlink" Target="../../../../../../../../../TI_projekt_daten/Audio/016M_&#228;h_005.wav" TargetMode="External"/><Relationship Id="rId374" Type="http://schemas.openxmlformats.org/officeDocument/2006/relationships/hyperlink" Target="../../../../../../../../../TI_projekt_daten/Audio/001M_ahm_007.wav" TargetMode="External"/><Relationship Id="rId581" Type="http://schemas.openxmlformats.org/officeDocument/2006/relationships/hyperlink" Target="../../../../../../../../../TI_projekt_daten/Audio/015M_&#228;h_043.wav" TargetMode="External"/><Relationship Id="rId71" Type="http://schemas.openxmlformats.org/officeDocument/2006/relationships/hyperlink" Target="..\..\..\..\..\..\..\..\..\TI_projekt_daten\Audio\002M_&#228;h_020.wav" TargetMode="External"/><Relationship Id="rId234" Type="http://schemas.openxmlformats.org/officeDocument/2006/relationships/hyperlink" Target="..\..\..\..\..\..\..\..\..\TI_projekt_daten\Audio\030F_&#228;h_003.wav" TargetMode="External"/><Relationship Id="rId679" Type="http://schemas.openxmlformats.org/officeDocument/2006/relationships/hyperlink" Target="../../../../../../../../../TI_projekt_daten/Audio/015M_&#228;hm_035.wav" TargetMode="External"/><Relationship Id="rId802" Type="http://schemas.openxmlformats.org/officeDocument/2006/relationships/hyperlink" Target="../../../../../../../../../TI_projekt_daten/Audio/025F_&#228;h_008.wav" TargetMode="External"/><Relationship Id="rId2" Type="http://schemas.openxmlformats.org/officeDocument/2006/relationships/hyperlink" Target="../../../../../../../../../TI_projekt_daten/Audio/036F_&#228;h_002.wav" TargetMode="External"/><Relationship Id="rId29" Type="http://schemas.openxmlformats.org/officeDocument/2006/relationships/hyperlink" Target="..\..\..\..\..\..\..\..\..\TI_projekt_daten\Audio\003M_&#228;hm_001.wav" TargetMode="External"/><Relationship Id="rId441" Type="http://schemas.openxmlformats.org/officeDocument/2006/relationships/hyperlink" Target="../../../../../../../../../TI_projekt_daten/Audio/019M_&#228;h_003.wav" TargetMode="External"/><Relationship Id="rId539" Type="http://schemas.openxmlformats.org/officeDocument/2006/relationships/hyperlink" Target="../../../../../../../../../TI_projekt_daten/Audio/016M_ahm_023.wav" TargetMode="External"/><Relationship Id="rId746" Type="http://schemas.openxmlformats.org/officeDocument/2006/relationships/hyperlink" Target="..\..\..\..\..\..\..\..\..\TI_projekt_daten\Audio\015M_ahm_016.wav" TargetMode="External"/><Relationship Id="rId178" Type="http://schemas.openxmlformats.org/officeDocument/2006/relationships/hyperlink" Target="../../../../../../../../../TI_projekt_daten/Audio/030F_&#228;h_001.wav" TargetMode="External"/><Relationship Id="rId301" Type="http://schemas.openxmlformats.org/officeDocument/2006/relationships/hyperlink" Target="../../../../../../../../../TI_projekt_daten/Audio/010M_&#228;h_006.wav" TargetMode="External"/><Relationship Id="rId82" Type="http://schemas.openxmlformats.org/officeDocument/2006/relationships/hyperlink" Target="..\..\..\..\..\..\..\..\..\TI_projekt_daten\Audio\027F_&#228;h_001.wav" TargetMode="External"/><Relationship Id="rId385" Type="http://schemas.openxmlformats.org/officeDocument/2006/relationships/hyperlink" Target="../../../../../../../../../TI_projekt_daten/Audio/015M_ahm_002.wav" TargetMode="External"/><Relationship Id="rId592" Type="http://schemas.openxmlformats.org/officeDocument/2006/relationships/hyperlink" Target="../../../../../../../../../TI_projekt_daten/Audio/016M_&#228;hm_006.wav" TargetMode="External"/><Relationship Id="rId606" Type="http://schemas.openxmlformats.org/officeDocument/2006/relationships/hyperlink" Target="../../../../../../../../../TI_projekt_daten/Audio/015M_&#228;h_047.wav" TargetMode="External"/><Relationship Id="rId813" Type="http://schemas.openxmlformats.org/officeDocument/2006/relationships/hyperlink" Target="../../../../../../../../../TI_projekt_daten/Audio/004M_&#228;h_003.wav" TargetMode="External"/><Relationship Id="rId245" Type="http://schemas.openxmlformats.org/officeDocument/2006/relationships/hyperlink" Target="../../../../../../../../../TI_projekt_daten/Audio/028F_ahm_003.wav" TargetMode="External"/><Relationship Id="rId452" Type="http://schemas.openxmlformats.org/officeDocument/2006/relationships/hyperlink" Target="../../../../../../../../../TI_projekt_daten/Audio/016M_ahm_017.wav" TargetMode="External"/><Relationship Id="rId105" Type="http://schemas.openxmlformats.org/officeDocument/2006/relationships/hyperlink" Target="..\..\..\..\..\..\..\..\..\TI_projekt_daten\Audio\016M_&#228;hm_004.wav" TargetMode="External"/><Relationship Id="rId312" Type="http://schemas.openxmlformats.org/officeDocument/2006/relationships/hyperlink" Target="../../../../../../../../../TI_projekt_daten/Audio/013M_ahm_005.wav" TargetMode="External"/><Relationship Id="rId757" Type="http://schemas.openxmlformats.org/officeDocument/2006/relationships/hyperlink" Target="../../../../../../../../../TI_projekt_daten/Audio/016M_&#228;hm_019.wav" TargetMode="External"/><Relationship Id="rId93" Type="http://schemas.openxmlformats.org/officeDocument/2006/relationships/hyperlink" Target="..\..\..\..\..\..\..\..\..\TI_projekt_daten\Audio\012M_&#228;h_003.wav" TargetMode="External"/><Relationship Id="rId189" Type="http://schemas.openxmlformats.org/officeDocument/2006/relationships/hyperlink" Target="..\..\..\..\..\..\..\..\..\TI_projekt_daten\Audio\017M_&#228;h_005.wav" TargetMode="External"/><Relationship Id="rId396" Type="http://schemas.openxmlformats.org/officeDocument/2006/relationships/hyperlink" Target="../../../../../../../../../TI_projekt_daten/Audio/037F_ahm_006.wav" TargetMode="External"/><Relationship Id="rId617" Type="http://schemas.openxmlformats.org/officeDocument/2006/relationships/hyperlink" Target="../../../../../../../../../TI_projekt_daten/Audio/017M_&#228;h_024.wav" TargetMode="External"/><Relationship Id="rId824" Type="http://schemas.openxmlformats.org/officeDocument/2006/relationships/hyperlink" Target="../../../../../../../../../TI_projekt_daten/Audio/002M_&#228;h_018.wav" TargetMode="External"/><Relationship Id="rId256" Type="http://schemas.openxmlformats.org/officeDocument/2006/relationships/hyperlink" Target="..\..\..\..\..\..\..\..\..\TI_projekt_daten\Audio\024F_&#228;hm_012.wav" TargetMode="External"/><Relationship Id="rId463" Type="http://schemas.openxmlformats.org/officeDocument/2006/relationships/hyperlink" Target="../../../../../../../../../TI_projekt_daten/Audio/025F_&#228;h_004.wav" TargetMode="External"/><Relationship Id="rId670" Type="http://schemas.openxmlformats.org/officeDocument/2006/relationships/hyperlink" Target="../../../../../../../../../TI_projekt_daten/Audio/016M_&#228;h_011.wav" TargetMode="External"/><Relationship Id="rId116" Type="http://schemas.openxmlformats.org/officeDocument/2006/relationships/hyperlink" Target="../../../../../../../../../TI_projekt_daten/Audio/014M_ahm_003.wav" TargetMode="External"/><Relationship Id="rId323" Type="http://schemas.openxmlformats.org/officeDocument/2006/relationships/hyperlink" Target="../../../../../../../../../TI_projekt_daten/Audio/014M_ahm_009.wav" TargetMode="External"/><Relationship Id="rId530" Type="http://schemas.openxmlformats.org/officeDocument/2006/relationships/hyperlink" Target="..\..\..\..\..\..\..\..\..\TI_projekt_daten\Audio\030F_ahm_012.wav" TargetMode="External"/><Relationship Id="rId768" Type="http://schemas.openxmlformats.org/officeDocument/2006/relationships/hyperlink" Target="../../../../../../../../../TI_projekt_daten/Audio/012M_&#228;h_028.wav" TargetMode="External"/><Relationship Id="rId20" Type="http://schemas.openxmlformats.org/officeDocument/2006/relationships/hyperlink" Target="..\..\..\..\..\..\..\..\..\TI_projekt_daten\Audio\016M_ahm_003.wav" TargetMode="External"/><Relationship Id="rId628" Type="http://schemas.openxmlformats.org/officeDocument/2006/relationships/hyperlink" Target="../../../../../../../../../TI_projekt_daten/Audio/005M_&#228;h_014.wav" TargetMode="External"/><Relationship Id="rId267" Type="http://schemas.openxmlformats.org/officeDocument/2006/relationships/hyperlink" Target="../../../../../../../../../TI_projekt_daten/Audio/024F_ahm_009.wav" TargetMode="External"/><Relationship Id="rId474" Type="http://schemas.openxmlformats.org/officeDocument/2006/relationships/hyperlink" Target="../../../../../../../../../TI_projekt_daten/Audio/017M_&#228;h_017.wav" TargetMode="External"/><Relationship Id="rId127" Type="http://schemas.openxmlformats.org/officeDocument/2006/relationships/hyperlink" Target="../../../../../../../../../TI_projekt_daten/Audio/028F_ahm_002.wav" TargetMode="External"/><Relationship Id="rId681" Type="http://schemas.openxmlformats.org/officeDocument/2006/relationships/hyperlink" Target="../../../../../../../../../TI_projekt_daten/Audio/015M_&#228;h_054.wav" TargetMode="External"/><Relationship Id="rId779" Type="http://schemas.openxmlformats.org/officeDocument/2006/relationships/hyperlink" Target="../../../../../../../../../TI_projekt_daten/Audio/012M_&#228;h_029.wav" TargetMode="External"/><Relationship Id="rId31" Type="http://schemas.openxmlformats.org/officeDocument/2006/relationships/hyperlink" Target="..\..\..\..\..\..\..\..\..\TI_projekt_daten\Audio\038F_&#228;hm_003.wav" TargetMode="External"/><Relationship Id="rId334" Type="http://schemas.openxmlformats.org/officeDocument/2006/relationships/hyperlink" Target="..\..\..\..\..\..\..\..\..\TI_projekt_daten\Audio\015M_&#228;h_023.wav" TargetMode="External"/><Relationship Id="rId541" Type="http://schemas.openxmlformats.org/officeDocument/2006/relationships/hyperlink" Target="../../../../../../../../../TI_projekt_daten/Audio/011M_&#228;h_004.wav" TargetMode="External"/><Relationship Id="rId639" Type="http://schemas.openxmlformats.org/officeDocument/2006/relationships/hyperlink" Target="../../../../../../../../../TI_projekt_daten/Audio/005M_&#228;h_015.wav" TargetMode="External"/><Relationship Id="rId180" Type="http://schemas.openxmlformats.org/officeDocument/2006/relationships/hyperlink" Target="../../../../../../../../../TI_projekt_daten/Audio/027F_&#228;h_002.wav" TargetMode="External"/><Relationship Id="rId278" Type="http://schemas.openxmlformats.org/officeDocument/2006/relationships/hyperlink" Target="../../../../../../../../../TI_projekt_daten/Audio/006M_&#228;h_008.wav" TargetMode="External"/><Relationship Id="rId401" Type="http://schemas.openxmlformats.org/officeDocument/2006/relationships/hyperlink" Target="../../../../../../../../../TI_projekt_daten/Audio/017M_&#228;h_013.wav" TargetMode="External"/><Relationship Id="rId485" Type="http://schemas.openxmlformats.org/officeDocument/2006/relationships/hyperlink" Target="..\..\..\..\..\..\..\..\..\TI_projekt_daten\Audio\036F_&#228;h_012.wav" TargetMode="External"/><Relationship Id="rId692" Type="http://schemas.openxmlformats.org/officeDocument/2006/relationships/hyperlink" Target="../../../../../../../../../TI_projekt_daten/Audio/015M_ahm_010.wav" TargetMode="External"/><Relationship Id="rId706" Type="http://schemas.openxmlformats.org/officeDocument/2006/relationships/hyperlink" Target="../../../../../../../../../TI_projekt_daten/Audio/016M_ahm_027.wav" TargetMode="External"/><Relationship Id="rId42" Type="http://schemas.openxmlformats.org/officeDocument/2006/relationships/hyperlink" Target="..\..\..\..\..\..\..\..\..\TI_projekt_daten\Audio\024F_&#228;hm_005.wav" TargetMode="External"/><Relationship Id="rId138" Type="http://schemas.openxmlformats.org/officeDocument/2006/relationships/hyperlink" Target="../../../../../../../../../TI_projekt_daten/Audio/014M_&#228;h_003.wav" TargetMode="External"/><Relationship Id="rId345" Type="http://schemas.openxmlformats.org/officeDocument/2006/relationships/hyperlink" Target="..\..\..\..\..\..\..\..\..\TI_projekt_daten\Audio\039F_&#228;hm_001.wav" TargetMode="External"/><Relationship Id="rId552" Type="http://schemas.openxmlformats.org/officeDocument/2006/relationships/hyperlink" Target="../../../../../../../../../TI_projekt_daten/Audio/015M_&#228;h_040.wav" TargetMode="External"/><Relationship Id="rId191" Type="http://schemas.openxmlformats.org/officeDocument/2006/relationships/hyperlink" Target="../../../../../../../../../TI_projekt_daten/Audio/006M_ahm_001.wav" TargetMode="External"/><Relationship Id="rId205" Type="http://schemas.openxmlformats.org/officeDocument/2006/relationships/hyperlink" Target="..\..\..\..\..\..\..\..\..\TI_projekt_daten\Audio\036F_&#228;h_009.wav" TargetMode="External"/><Relationship Id="rId412" Type="http://schemas.openxmlformats.org/officeDocument/2006/relationships/hyperlink" Target="../../../../../../../../../TI_projekt_daten/Audio/026F_&#228;h_002.wav" TargetMode="External"/><Relationship Id="rId289" Type="http://schemas.openxmlformats.org/officeDocument/2006/relationships/hyperlink" Target="../../../../../../../../../TI_projekt_daten/Audio/009M_&#228;h_007.wav" TargetMode="External"/><Relationship Id="rId496" Type="http://schemas.openxmlformats.org/officeDocument/2006/relationships/hyperlink" Target="../../../../../../../../../TI_projekt_daten/Audio/036F_&#228;hm_003.wav" TargetMode="External"/><Relationship Id="rId717" Type="http://schemas.openxmlformats.org/officeDocument/2006/relationships/hyperlink" Target="../../../../../../../../../TI_projekt_daten/Audio/016M_ahm_030.wav" TargetMode="External"/><Relationship Id="rId53" Type="http://schemas.openxmlformats.org/officeDocument/2006/relationships/hyperlink" Target="../../../../../../../../../TI_projekt_daten/Audio/023F_&#228;h_006.wav" TargetMode="External"/><Relationship Id="rId149" Type="http://schemas.openxmlformats.org/officeDocument/2006/relationships/hyperlink" Target="../../../../../../../../../TI_projekt_daten/Audio/015M_&#228;h_008.wav" TargetMode="External"/><Relationship Id="rId356" Type="http://schemas.openxmlformats.org/officeDocument/2006/relationships/hyperlink" Target="../../../../../../../../../TI_projekt_daten/Audio/016M_ahm_009.wav" TargetMode="External"/><Relationship Id="rId563" Type="http://schemas.openxmlformats.org/officeDocument/2006/relationships/hyperlink" Target="../../../../../../../../../TI_projekt_daten/Audio/012M_&#228;h_021.wav" TargetMode="External"/><Relationship Id="rId770" Type="http://schemas.openxmlformats.org/officeDocument/2006/relationships/hyperlink" Target="../../../../../../../../../TI_projekt_daten/Audio/016M_ahm_043.wav" TargetMode="External"/><Relationship Id="rId216" Type="http://schemas.openxmlformats.org/officeDocument/2006/relationships/hyperlink" Target="../../../../../../../../../TI_projekt_daten/Audio/024F_ahm_003.wav" TargetMode="External"/><Relationship Id="rId423" Type="http://schemas.openxmlformats.org/officeDocument/2006/relationships/hyperlink" Target="../../../../../../../../../TI_projekt_daten/Audio/030F_ahm_006.wav" TargetMode="External"/><Relationship Id="rId630" Type="http://schemas.openxmlformats.org/officeDocument/2006/relationships/hyperlink" Target="../../../../../../../../../TI_projekt_daten/Audio/030F_ahm_016.wav" TargetMode="External"/><Relationship Id="rId728" Type="http://schemas.openxmlformats.org/officeDocument/2006/relationships/hyperlink" Target="../../../../../../../../../TI_projekt_daten/Audio/027F_ahm_007.wav" TargetMode="External"/><Relationship Id="rId64" Type="http://schemas.openxmlformats.org/officeDocument/2006/relationships/hyperlink" Target="..\..\..\..\..\..\..\..\..\TI_projekt_daten\Audio\003M_&#228;hm_003.wav" TargetMode="External"/><Relationship Id="rId367" Type="http://schemas.openxmlformats.org/officeDocument/2006/relationships/hyperlink" Target="../../../../../../../../../TI_projekt_daten/Audio/030F_ahm_004.wav" TargetMode="External"/><Relationship Id="rId574" Type="http://schemas.openxmlformats.org/officeDocument/2006/relationships/hyperlink" Target="../../../../../../../../../TI_projekt_daten/Audio/005M_&#228;hm_006.wav" TargetMode="External"/><Relationship Id="rId227" Type="http://schemas.openxmlformats.org/officeDocument/2006/relationships/hyperlink" Target="..\..\..\..\..\..\..\..\..\TI_projekt_daten\Audio\005M_&#228;h_001.wav" TargetMode="External"/><Relationship Id="rId781" Type="http://schemas.openxmlformats.org/officeDocument/2006/relationships/hyperlink" Target="../../../../../../../../../TI_projekt_daten/Audio/027F_ahm_009.wav" TargetMode="External"/><Relationship Id="rId434" Type="http://schemas.openxmlformats.org/officeDocument/2006/relationships/hyperlink" Target="../../../../../../../../../TI_projekt_daten/Audio/015M_&#228;hm_017.wav" TargetMode="External"/><Relationship Id="rId641" Type="http://schemas.openxmlformats.org/officeDocument/2006/relationships/hyperlink" Target="../../../../../../../../../TI_projekt_daten/Audio/015M_&#228;h_052.wav" TargetMode="External"/><Relationship Id="rId739" Type="http://schemas.openxmlformats.org/officeDocument/2006/relationships/hyperlink" Target="..\..\..\..\..\..\..\..\..\TI_projekt_daten\Audio\016M_&#228;h_015.wav" TargetMode="External"/><Relationship Id="rId280" Type="http://schemas.openxmlformats.org/officeDocument/2006/relationships/hyperlink" Target="../../../../../../../../../TI_projekt_daten/Audio/006M_&#228;h_010.wav" TargetMode="External"/><Relationship Id="rId501" Type="http://schemas.openxmlformats.org/officeDocument/2006/relationships/hyperlink" Target="../../../../../../../../../TI_projekt_daten/Audio/037F_ahm_007.wav" TargetMode="External"/><Relationship Id="rId75" Type="http://schemas.openxmlformats.org/officeDocument/2006/relationships/hyperlink" Target="..\..\..\..\..\..\..\..\..\TI_projekt_daten\Audio\015M_&#228;hm_001.wav" TargetMode="External"/><Relationship Id="rId140" Type="http://schemas.openxmlformats.org/officeDocument/2006/relationships/hyperlink" Target="..\..\..\..\..\..\..\..\..\TI_projekt_daten\Audio\008M_&#228;h_001.wav" TargetMode="External"/><Relationship Id="rId378" Type="http://schemas.openxmlformats.org/officeDocument/2006/relationships/hyperlink" Target="../../../../../../../../../TI_projekt_daten/Audio/024F_&#228;h_002.wav" TargetMode="External"/><Relationship Id="rId585" Type="http://schemas.openxmlformats.org/officeDocument/2006/relationships/hyperlink" Target="../../../../../../../../../TI_projekt_daten/Audio/015M_&#228;h_044.wav" TargetMode="External"/><Relationship Id="rId792" Type="http://schemas.openxmlformats.org/officeDocument/2006/relationships/hyperlink" Target="../../../../../../../../../TI_projekt_daten/Audio/016M_ahm_046.wav" TargetMode="External"/><Relationship Id="rId806" Type="http://schemas.openxmlformats.org/officeDocument/2006/relationships/hyperlink" Target="../../../../../../../../../TI_projekt_daten/Audio/011M_ahm_001.wav" TargetMode="External"/><Relationship Id="rId6" Type="http://schemas.openxmlformats.org/officeDocument/2006/relationships/hyperlink" Target="..\..\..\..\..\..\..\..\..\TI_projekt_daten\Audio\024F_&#228;hm_002.wav" TargetMode="External"/><Relationship Id="rId238" Type="http://schemas.openxmlformats.org/officeDocument/2006/relationships/hyperlink" Target="..\..\..\..\..\..\..\..\..\TI_projekt_daten\Audio\015M_&#228;hm_012.wav" TargetMode="External"/><Relationship Id="rId445" Type="http://schemas.openxmlformats.org/officeDocument/2006/relationships/hyperlink" Target="../../../../../../../../../TI_projekt_daten/Audio/016M_ahm_016.wav" TargetMode="External"/><Relationship Id="rId652" Type="http://schemas.openxmlformats.org/officeDocument/2006/relationships/hyperlink" Target="../../../../../../../../../TI_projekt_daten/Audio/005M_&#228;h_017.wav" TargetMode="External"/><Relationship Id="rId291" Type="http://schemas.openxmlformats.org/officeDocument/2006/relationships/hyperlink" Target="..\..\..\..\..\..\..\..\..\TI_projekt_daten\Audio\009M_&#228;h_009.wav" TargetMode="External"/><Relationship Id="rId305" Type="http://schemas.openxmlformats.org/officeDocument/2006/relationships/hyperlink" Target="../../../../../../../../../TI_projekt_daten/Audio/010M_ahm_002.wav" TargetMode="External"/><Relationship Id="rId512" Type="http://schemas.openxmlformats.org/officeDocument/2006/relationships/hyperlink" Target="../../../../../../../../../TI_projekt_daten/Audio/015M_&#228;h_032.wav" TargetMode="External"/><Relationship Id="rId86" Type="http://schemas.openxmlformats.org/officeDocument/2006/relationships/hyperlink" Target="..\..\..\..\..\..\..\..\..\TI_projekt_daten\Audio\036F_&#228;h_003.wav" TargetMode="External"/><Relationship Id="rId151" Type="http://schemas.openxmlformats.org/officeDocument/2006/relationships/hyperlink" Target="../../../../../../../../../TI_projekt_daten/Audio/012M_ahm_001.wav" TargetMode="External"/><Relationship Id="rId389" Type="http://schemas.openxmlformats.org/officeDocument/2006/relationships/hyperlink" Target="../../../../../../../../../TI_projekt_daten/Audio/026F_ahm_001.wav" TargetMode="External"/><Relationship Id="rId596" Type="http://schemas.openxmlformats.org/officeDocument/2006/relationships/hyperlink" Target="../../../../../../../../../TI_projekt_daten/Audio/004M_&#228;h_004.wav" TargetMode="External"/><Relationship Id="rId817" Type="http://schemas.openxmlformats.org/officeDocument/2006/relationships/hyperlink" Target="..\..\..\..\..\..\..\..\..\TI_projekt_daten\Audio\003M_&#228;h_018.wav" TargetMode="External"/><Relationship Id="rId193" Type="http://schemas.openxmlformats.org/officeDocument/2006/relationships/hyperlink" Target="../../../../../../../../../TI_projekt_daten/Audio/030F_&#228;h_002.wav" TargetMode="External"/><Relationship Id="rId207" Type="http://schemas.openxmlformats.org/officeDocument/2006/relationships/hyperlink" Target="../../../../../../../../../TI_projekt_daten/Audio/015M_&#228;h_012.wav" TargetMode="External"/><Relationship Id="rId249" Type="http://schemas.openxmlformats.org/officeDocument/2006/relationships/hyperlink" Target="../../../../../../../../../TI_projekt_daten/Audio/017M_&#228;h_009.wav" TargetMode="External"/><Relationship Id="rId414" Type="http://schemas.openxmlformats.org/officeDocument/2006/relationships/hyperlink" Target="../../../../../../../../../TI_projekt_daten/Audio/025F_&#228;h_002.wav" TargetMode="External"/><Relationship Id="rId456" Type="http://schemas.openxmlformats.org/officeDocument/2006/relationships/hyperlink" Target="..\..\..\..\..\..\..\..\..\TI_projekt_daten\Audio\026F_&#228;hm_004.wav" TargetMode="External"/><Relationship Id="rId498" Type="http://schemas.openxmlformats.org/officeDocument/2006/relationships/hyperlink" Target="../../../../../../../../../TI_projekt_daten/Audio/026F_ahm_006.wav" TargetMode="External"/><Relationship Id="rId621" Type="http://schemas.openxmlformats.org/officeDocument/2006/relationships/hyperlink" Target="..\..\..\..\..\..\..\..\..\TI_projekt_daten\Audio\012M_&#228;h_022.wav" TargetMode="External"/><Relationship Id="rId663" Type="http://schemas.openxmlformats.org/officeDocument/2006/relationships/hyperlink" Target="../../../../../../../../../TI_projekt_daten/Audio/017M_&#228;h_034.wav" TargetMode="External"/><Relationship Id="rId13" Type="http://schemas.openxmlformats.org/officeDocument/2006/relationships/hyperlink" Target="..\..\..\..\..\..\..\..\..\TI_projekt_daten\Audio\015M_&#228;hm_003.wav" TargetMode="External"/><Relationship Id="rId109" Type="http://schemas.openxmlformats.org/officeDocument/2006/relationships/hyperlink" Target="..\..\..\..\..\..\..\..\..\TI_projekt_daten\Audio\015M_&#228;h_004.wav" TargetMode="External"/><Relationship Id="rId260" Type="http://schemas.openxmlformats.org/officeDocument/2006/relationships/hyperlink" Target="../../../../../../../../../TI_projekt_daten/Audio/024F_&#228;hm_016.wav" TargetMode="External"/><Relationship Id="rId316" Type="http://schemas.openxmlformats.org/officeDocument/2006/relationships/hyperlink" Target="../../../../../../../../../TI_projekt_daten/Audio/014M_&#228;h_009.wav" TargetMode="External"/><Relationship Id="rId523" Type="http://schemas.openxmlformats.org/officeDocument/2006/relationships/hyperlink" Target="../../../../../../../../../TI_projekt_daten/Audio/035F_&#228;hm_004.wav" TargetMode="External"/><Relationship Id="rId719" Type="http://schemas.openxmlformats.org/officeDocument/2006/relationships/hyperlink" Target="../../../../../../../../../TI_projekt_daten/Audio/015M_ahm_015.wav" TargetMode="External"/><Relationship Id="rId55" Type="http://schemas.openxmlformats.org/officeDocument/2006/relationships/hyperlink" Target="..\..\..\..\..\..\..\..\..\TI_projekt_daten\Audio\002M_&#228;h_007.wav" TargetMode="External"/><Relationship Id="rId97" Type="http://schemas.openxmlformats.org/officeDocument/2006/relationships/hyperlink" Target="../../../../../../../../../TI_projekt_daten/Audio/016M_&#228;hm_002.wav" TargetMode="External"/><Relationship Id="rId120" Type="http://schemas.openxmlformats.org/officeDocument/2006/relationships/hyperlink" Target="..\..\..\..\..\..\..\..\..\TI_projekt_daten\Audio\014M_&#228;h_001.wav" TargetMode="External"/><Relationship Id="rId358" Type="http://schemas.openxmlformats.org/officeDocument/2006/relationships/hyperlink" Target="../../../../../../../../../TI_projekt_daten/Audio/037F_ahm_005.wav" TargetMode="External"/><Relationship Id="rId565" Type="http://schemas.openxmlformats.org/officeDocument/2006/relationships/hyperlink" Target="../../../../../../../../../TI_projekt_daten/Audio/015M_ahm_005.wav" TargetMode="External"/><Relationship Id="rId730" Type="http://schemas.openxmlformats.org/officeDocument/2006/relationships/hyperlink" Target="../../../../../../../../../TI_projekt_daten/Audio/005M_&#228;h_021.wav" TargetMode="External"/><Relationship Id="rId772" Type="http://schemas.openxmlformats.org/officeDocument/2006/relationships/hyperlink" Target="../../../../../../../../../TI_projekt_daten/Audio/037F_ahm_016.wav" TargetMode="External"/><Relationship Id="rId162" Type="http://schemas.openxmlformats.org/officeDocument/2006/relationships/hyperlink" Target="../../../../../../../../../TI_projekt_daten/Audio/008M_&#228;h_003.wav" TargetMode="External"/><Relationship Id="rId218" Type="http://schemas.openxmlformats.org/officeDocument/2006/relationships/hyperlink" Target="../../../../../../../../../TI_projekt_daten/Audio/007M_ahm_001.wav" TargetMode="External"/><Relationship Id="rId425" Type="http://schemas.openxmlformats.org/officeDocument/2006/relationships/hyperlink" Target="../../../../../../../../../TI_projekt_daten/Audio/016M_ahm_014.wav" TargetMode="External"/><Relationship Id="rId467" Type="http://schemas.openxmlformats.org/officeDocument/2006/relationships/hyperlink" Target="../../../../../../../../../TI_projekt_daten/Audio/016M_&#228;h_008.wav" TargetMode="External"/><Relationship Id="rId632" Type="http://schemas.openxmlformats.org/officeDocument/2006/relationships/hyperlink" Target="../../../../../../../../../TI_projekt_daten/Audio/015M_&#228;h_050.wav" TargetMode="External"/><Relationship Id="rId271" Type="http://schemas.openxmlformats.org/officeDocument/2006/relationships/hyperlink" Target="../../../../../../../../../TI_projekt_daten/Audio/024F_ahm_013.wav" TargetMode="External"/><Relationship Id="rId674" Type="http://schemas.openxmlformats.org/officeDocument/2006/relationships/hyperlink" Target="../../../../../../../../../TI_projekt_daten/Audio/015M_ahm_009.wav" TargetMode="External"/><Relationship Id="rId24" Type="http://schemas.openxmlformats.org/officeDocument/2006/relationships/hyperlink" Target="..\..\..\..\..\..\..\..\..\TI_projekt_daten\Audio\015M_&#228;h_005.wav" TargetMode="External"/><Relationship Id="rId66" Type="http://schemas.openxmlformats.org/officeDocument/2006/relationships/hyperlink" Target="../../../../../../../../../TI_projekt_daten/Audio/003M_&#228;h_023.wav" TargetMode="External"/><Relationship Id="rId131" Type="http://schemas.openxmlformats.org/officeDocument/2006/relationships/hyperlink" Target="../../../../../../../../../TI_projekt_daten/Audio/016M_&#228;hm_010.wav" TargetMode="External"/><Relationship Id="rId327" Type="http://schemas.openxmlformats.org/officeDocument/2006/relationships/hyperlink" Target="../../../../../../../../../TI_projekt_daten/Audio/014M_ahm_013.wav" TargetMode="External"/><Relationship Id="rId369" Type="http://schemas.openxmlformats.org/officeDocument/2006/relationships/hyperlink" Target="../../../../../../../../../TI_projekt_daten/Audio/028F_&#228;hm_007.wav" TargetMode="External"/><Relationship Id="rId534" Type="http://schemas.openxmlformats.org/officeDocument/2006/relationships/hyperlink" Target="../../../../../../../../../TI_projekt_daten/Audio/038F_ahm_012.wav" TargetMode="External"/><Relationship Id="rId576" Type="http://schemas.openxmlformats.org/officeDocument/2006/relationships/hyperlink" Target="../../../../../../../../../TI_projekt_daten/Audio/012M_ahm_013.wav" TargetMode="External"/><Relationship Id="rId741" Type="http://schemas.openxmlformats.org/officeDocument/2006/relationships/hyperlink" Target="../../../../../../../../../TI_projekt_daten/Audio/015M_&#228;hm_039.wav" TargetMode="External"/><Relationship Id="rId783" Type="http://schemas.openxmlformats.org/officeDocument/2006/relationships/hyperlink" Target="../../../../../../../../../TI_projekt_daten/Audio/012M_&#228;h_030.wav" TargetMode="External"/><Relationship Id="rId173" Type="http://schemas.openxmlformats.org/officeDocument/2006/relationships/hyperlink" Target="../../../../../../../../../TI_projekt_daten/Audio/016M_ahm_007.wav" TargetMode="External"/><Relationship Id="rId229" Type="http://schemas.openxmlformats.org/officeDocument/2006/relationships/hyperlink" Target="..\..\..\..\..\..\..\..\..\TI_projekt_daten\Audio\038F_&#228;h_003.wav" TargetMode="External"/><Relationship Id="rId380" Type="http://schemas.openxmlformats.org/officeDocument/2006/relationships/hyperlink" Target="../../../../../../../../../TI_projekt_daten/Audio/024F_&#228;h_003.wav" TargetMode="External"/><Relationship Id="rId436" Type="http://schemas.openxmlformats.org/officeDocument/2006/relationships/hyperlink" Target="../../../../../../../../../TI_projekt_daten/Audio/037F_&#228;hm_003.wav" TargetMode="External"/><Relationship Id="rId601" Type="http://schemas.openxmlformats.org/officeDocument/2006/relationships/hyperlink" Target="../../../../../../../../../TI_projekt_daten/Audio/037F_ahm_009.wav" TargetMode="External"/><Relationship Id="rId643" Type="http://schemas.openxmlformats.org/officeDocument/2006/relationships/hyperlink" Target="../../../../../../../../../TI_projekt_daten/Audio/017M_&#228;h_029.wav" TargetMode="External"/><Relationship Id="rId240" Type="http://schemas.openxmlformats.org/officeDocument/2006/relationships/hyperlink" Target="..\..\..\..\..\..\..\..\..\TI_projekt_daten\Audio\015M_&#228;h_016.wav" TargetMode="External"/><Relationship Id="rId478" Type="http://schemas.openxmlformats.org/officeDocument/2006/relationships/hyperlink" Target="../../../../../../../../../TI_projekt_daten/Audio/011M_&#228;hm_006.wav" TargetMode="External"/><Relationship Id="rId685" Type="http://schemas.openxmlformats.org/officeDocument/2006/relationships/hyperlink" Target="../../../../../../../../../TI_projekt_daten/Audio/012M_&#228;h_023.wav" TargetMode="External"/><Relationship Id="rId35" Type="http://schemas.openxmlformats.org/officeDocument/2006/relationships/hyperlink" Target="..\..\..\..\..\..\..\..\..\TI_projekt_daten\Audio\011M_&#228;hm_001.wav" TargetMode="External"/><Relationship Id="rId77" Type="http://schemas.openxmlformats.org/officeDocument/2006/relationships/hyperlink" Target="..\..\..\..\..\..\..\..\..\TI_projekt_daten\Audio\036F_&#228;h_001.wav" TargetMode="External"/><Relationship Id="rId100" Type="http://schemas.openxmlformats.org/officeDocument/2006/relationships/hyperlink" Target="..\..\..\..\..\..\..\..\..\TI_projekt_daten\Audio\012M_&#228;h_004.wav" TargetMode="External"/><Relationship Id="rId282" Type="http://schemas.openxmlformats.org/officeDocument/2006/relationships/hyperlink" Target="../../../../../../../../../TI_projekt_daten/Audio/006M_ahm_002.wav" TargetMode="External"/><Relationship Id="rId338" Type="http://schemas.openxmlformats.org/officeDocument/2006/relationships/hyperlink" Target="../../../../../../../../../TI_projekt_daten/Audio/015M_&#228;h_027.wav" TargetMode="External"/><Relationship Id="rId503" Type="http://schemas.openxmlformats.org/officeDocument/2006/relationships/hyperlink" Target="../../../../../../../../../TI_projekt_daten/Audio/005M_&#228;h_007.wav" TargetMode="External"/><Relationship Id="rId545" Type="http://schemas.openxmlformats.org/officeDocument/2006/relationships/hyperlink" Target="../../../../../../../../../TI_projekt_daten/Audio/011M_&#228;h_005.wav" TargetMode="External"/><Relationship Id="rId587" Type="http://schemas.openxmlformats.org/officeDocument/2006/relationships/hyperlink" Target="../../../../../../../../../TI_projekt_daten/Audio/005M_&#228;hm_008.wav" TargetMode="External"/><Relationship Id="rId710" Type="http://schemas.openxmlformats.org/officeDocument/2006/relationships/hyperlink" Target="../../../../../../../../../TI_projekt_daten/Audio/015M_ahm_012.wav" TargetMode="External"/><Relationship Id="rId752" Type="http://schemas.openxmlformats.org/officeDocument/2006/relationships/hyperlink" Target="../../../../../../../../../TI_projekt_daten/Audio/015M_&#228;hm_041.wav" TargetMode="External"/><Relationship Id="rId808" Type="http://schemas.openxmlformats.org/officeDocument/2006/relationships/hyperlink" Target="../../../../../../../../../TI_projekt_daten/Audio/035F_&#228;h_001.wav" TargetMode="External"/><Relationship Id="rId8" Type="http://schemas.openxmlformats.org/officeDocument/2006/relationships/hyperlink" Target="..\..\..\..\..\..\..\..\..\TI_projekt_daten\Audio\005M_ahm_001.wav" TargetMode="External"/><Relationship Id="rId142" Type="http://schemas.openxmlformats.org/officeDocument/2006/relationships/hyperlink" Target="..\..\..\..\..\..\..\..\..\TI_projekt_daten\Audio\038F_&#228;hm_004.wav" TargetMode="External"/><Relationship Id="rId184" Type="http://schemas.openxmlformats.org/officeDocument/2006/relationships/hyperlink" Target="../../../../../../../../../TI_projekt_daten/Audio/037F_ahm_003.wav" TargetMode="External"/><Relationship Id="rId391" Type="http://schemas.openxmlformats.org/officeDocument/2006/relationships/hyperlink" Target="../../../../../../../../../TI_projekt_daten/Audio/018M_&#228;hm_002.wav" TargetMode="External"/><Relationship Id="rId405" Type="http://schemas.openxmlformats.org/officeDocument/2006/relationships/hyperlink" Target="../../../../../../../../../TI_projekt_daten/Audio/016M_&#228;h_007.wav" TargetMode="External"/><Relationship Id="rId447" Type="http://schemas.openxmlformats.org/officeDocument/2006/relationships/hyperlink" Target="../../../../../../../../../TI_projekt_daten/Audio/026F_&#228;h_003.wav" TargetMode="External"/><Relationship Id="rId612" Type="http://schemas.openxmlformats.org/officeDocument/2006/relationships/hyperlink" Target="../../../../../../../../../TI_projekt_daten/Audio/015M_&#228;hm_027.wav" TargetMode="External"/><Relationship Id="rId794" Type="http://schemas.openxmlformats.org/officeDocument/2006/relationships/hyperlink" Target="../../../../../../../../../TI_projekt_daten/Audio/038F_ahm_017.wav" TargetMode="External"/><Relationship Id="rId251" Type="http://schemas.openxmlformats.org/officeDocument/2006/relationships/hyperlink" Target="..\..\..\..\..\..\..\..\..\TI_projekt_daten\Audio\003M_&#228;h_010.wav" TargetMode="External"/><Relationship Id="rId489" Type="http://schemas.openxmlformats.org/officeDocument/2006/relationships/hyperlink" Target="../../../../../../../../../TI_projekt_daten/Audio/012M_&#228;h_019.wav" TargetMode="External"/><Relationship Id="rId654" Type="http://schemas.openxmlformats.org/officeDocument/2006/relationships/hyperlink" Target="../../../../../../../../../TI_projekt_daten/Audio/017M_&#228;h_031.wav" TargetMode="External"/><Relationship Id="rId696" Type="http://schemas.openxmlformats.org/officeDocument/2006/relationships/hyperlink" Target="../../../../../../../../../TI_projekt_daten/Audio/012M_ahm_015.wav" TargetMode="External"/><Relationship Id="rId46" Type="http://schemas.openxmlformats.org/officeDocument/2006/relationships/hyperlink" Target="..\..\..\..\..\..\..\..\..\TI_projekt_daten\Audio\003M_&#228;h_014.wav" TargetMode="External"/><Relationship Id="rId293" Type="http://schemas.openxmlformats.org/officeDocument/2006/relationships/hyperlink" Target="../../../../../../../../../TI_projekt_daten/Audio/009M_&#228;hm_001.wav" TargetMode="External"/><Relationship Id="rId307" Type="http://schemas.openxmlformats.org/officeDocument/2006/relationships/hyperlink" Target="../../../../../../../../../TI_projekt_daten/Audio/013M_&#228;h_003.wav" TargetMode="External"/><Relationship Id="rId349" Type="http://schemas.openxmlformats.org/officeDocument/2006/relationships/hyperlink" Target="../../../../../../../../../TI_projekt_daten/Audio/012M_&#228;h_016.wav" TargetMode="External"/><Relationship Id="rId514" Type="http://schemas.openxmlformats.org/officeDocument/2006/relationships/hyperlink" Target="../../../../../../../../../TI_projekt_daten/Audio/021F_&#228;h_007.wav" TargetMode="External"/><Relationship Id="rId556" Type="http://schemas.openxmlformats.org/officeDocument/2006/relationships/hyperlink" Target="../../../../../../../../../TI_projekt_daten/Audio/015M_&#228;h_041.wav" TargetMode="External"/><Relationship Id="rId721" Type="http://schemas.openxmlformats.org/officeDocument/2006/relationships/hyperlink" Target="../../../../../../../../../TI_projekt_daten/Audio/005M_&#228;hm_013.wav" TargetMode="External"/><Relationship Id="rId763" Type="http://schemas.openxmlformats.org/officeDocument/2006/relationships/hyperlink" Target="../../../../../../../../../TI_projekt_daten/Audio/028F_&#228;hm_016.wav" TargetMode="External"/><Relationship Id="rId88" Type="http://schemas.openxmlformats.org/officeDocument/2006/relationships/hyperlink" Target="..\..\..\..\..\..\..\..\..\TI_projekt_daten\Audio\024F_&#228;hm_003.wav" TargetMode="External"/><Relationship Id="rId111" Type="http://schemas.openxmlformats.org/officeDocument/2006/relationships/hyperlink" Target="..\..\..\..\..\..\..\..\..\TI_projekt_daten\Audio\016M_&#228;h_001.wav" TargetMode="External"/><Relationship Id="rId153" Type="http://schemas.openxmlformats.org/officeDocument/2006/relationships/hyperlink" Target="../../../../../../../../../TI_projekt_daten/Audio/012M_ahm_002.wav" TargetMode="External"/><Relationship Id="rId195" Type="http://schemas.openxmlformats.org/officeDocument/2006/relationships/hyperlink" Target="../../../../../../../../../TI_projekt_daten/Audio/015M_&#228;hm_011.wav" TargetMode="External"/><Relationship Id="rId209" Type="http://schemas.openxmlformats.org/officeDocument/2006/relationships/hyperlink" Target="../../../../../../../../../TI_projekt_daten/Audio/032F_&#228;h_002.wav" TargetMode="External"/><Relationship Id="rId360" Type="http://schemas.openxmlformats.org/officeDocument/2006/relationships/hyperlink" Target="../../../../../../../../../TI_projekt_daten/Audio/005M_&#228;hm_003.wav" TargetMode="External"/><Relationship Id="rId416" Type="http://schemas.openxmlformats.org/officeDocument/2006/relationships/hyperlink" Target="../../../../../../../../../TI_projekt_daten/Audio/016M_&#228;hm_014.wav" TargetMode="External"/><Relationship Id="rId598" Type="http://schemas.openxmlformats.org/officeDocument/2006/relationships/hyperlink" Target="../../../../../../../../../TI_projekt_daten/Audio/015M_&#228;h_045.wav" TargetMode="External"/><Relationship Id="rId819" Type="http://schemas.openxmlformats.org/officeDocument/2006/relationships/hyperlink" Target="../../../../../../../../../TI_projekt_daten/Audio/002M_&#228;h_013.wav" TargetMode="External"/><Relationship Id="rId220" Type="http://schemas.openxmlformats.org/officeDocument/2006/relationships/hyperlink" Target="../../../../../../../../../TI_projekt_daten/Audio/012M_ahm_006.wav" TargetMode="External"/><Relationship Id="rId458" Type="http://schemas.openxmlformats.org/officeDocument/2006/relationships/hyperlink" Target="../../../../../../../../../TI_projekt_daten/Audio/008M_&#228;h_005.wav" TargetMode="External"/><Relationship Id="rId623" Type="http://schemas.openxmlformats.org/officeDocument/2006/relationships/hyperlink" Target="../../../../../../../../../TI_projekt_daten/Audio/025F_&#228;h_005.wav" TargetMode="External"/><Relationship Id="rId665" Type="http://schemas.openxmlformats.org/officeDocument/2006/relationships/hyperlink" Target="..\..\..\..\..\..\..\..\..\TI_projekt_daten\Audio\015M_ahm_008.wav" TargetMode="External"/><Relationship Id="rId15" Type="http://schemas.openxmlformats.org/officeDocument/2006/relationships/hyperlink" Target="..\..\..\..\..\..\..\..\..\TI_projekt_daten\Audio\024F_&#228;hm_004.wav" TargetMode="External"/><Relationship Id="rId57" Type="http://schemas.openxmlformats.org/officeDocument/2006/relationships/hyperlink" Target="../../../../../../../../../TI_projekt_daten/Audio/002M_&#228;hm_002.wav" TargetMode="External"/><Relationship Id="rId262" Type="http://schemas.openxmlformats.org/officeDocument/2006/relationships/hyperlink" Target="../../../../../../../../../TI_projekt_daten/Audio/024F_ahm_004.wav" TargetMode="External"/><Relationship Id="rId318" Type="http://schemas.openxmlformats.org/officeDocument/2006/relationships/hyperlink" Target="..\..\..\..\..\..\..\..\..\TI_projekt_daten\Audio\014M_&#228;h_011.wav" TargetMode="External"/><Relationship Id="rId525" Type="http://schemas.openxmlformats.org/officeDocument/2006/relationships/hyperlink" Target="../../../../../../../../../TI_projekt_daten/Audio/005M_&#228;h_009.wav" TargetMode="External"/><Relationship Id="rId567" Type="http://schemas.openxmlformats.org/officeDocument/2006/relationships/hyperlink" Target="../../../../../../../../../TI_projekt_daten/Audio/015M_&#228;h_042.wav" TargetMode="External"/><Relationship Id="rId732" Type="http://schemas.openxmlformats.org/officeDocument/2006/relationships/hyperlink" Target="../../../../../../../../../TI_projekt_daten/Audio/018M_&#228;h_003.wav" TargetMode="External"/><Relationship Id="rId99" Type="http://schemas.openxmlformats.org/officeDocument/2006/relationships/hyperlink" Target="..\..\..\..\..\..\..\..\..\TI_projekt_daten\Audio\015M_&#228;hm_004.wav" TargetMode="External"/><Relationship Id="rId122" Type="http://schemas.openxmlformats.org/officeDocument/2006/relationships/hyperlink" Target="../../../../../../../../../TI_projekt_daten/Audio/014M_ahm_004.wav" TargetMode="External"/><Relationship Id="rId164" Type="http://schemas.openxmlformats.org/officeDocument/2006/relationships/hyperlink" Target="..\..\..\..\..\..\..\..\..\TI_projekt_daten\Audio\001M_&#228;h_004.wav" TargetMode="External"/><Relationship Id="rId371" Type="http://schemas.openxmlformats.org/officeDocument/2006/relationships/hyperlink" Target="../../../../../../../../../TI_projekt_daten/Audio/027F_ahm_003.wav" TargetMode="External"/><Relationship Id="rId774" Type="http://schemas.openxmlformats.org/officeDocument/2006/relationships/hyperlink" Target="../../../../../../../../../TI_projekt_daten/Audio/038F_ahm_015.wav" TargetMode="External"/><Relationship Id="rId427" Type="http://schemas.openxmlformats.org/officeDocument/2006/relationships/hyperlink" Target="../../../../../../../../../TI_projekt_daten/Audio/015M_ahm_003.wav" TargetMode="External"/><Relationship Id="rId469" Type="http://schemas.openxmlformats.org/officeDocument/2006/relationships/hyperlink" Target="..\..\..\..\..\..\..\..\..\TI_projekt_daten\Audio\021F_&#228;h_005.wav" TargetMode="External"/><Relationship Id="rId634" Type="http://schemas.openxmlformats.org/officeDocument/2006/relationships/hyperlink" Target="../../../../../../../../../TI_projekt_daten/Audio/015M_ahm_007.wav" TargetMode="External"/><Relationship Id="rId676" Type="http://schemas.openxmlformats.org/officeDocument/2006/relationships/hyperlink" Target="../../../../../../../../../TI_projekt_daten/Audio/026F_ahm_008.wav" TargetMode="External"/><Relationship Id="rId26" Type="http://schemas.openxmlformats.org/officeDocument/2006/relationships/hyperlink" Target="..\..\..\..\..\..\..\..\..\TI_projekt_daten\Audio\005M_&#228;hm_001.wav" TargetMode="External"/><Relationship Id="rId231" Type="http://schemas.openxmlformats.org/officeDocument/2006/relationships/hyperlink" Target="..\..\..\..\..\..\..\..\..\TI_projekt_daten\Audio\012M_&#228;h_014.wav" TargetMode="External"/><Relationship Id="rId273" Type="http://schemas.openxmlformats.org/officeDocument/2006/relationships/hyperlink" Target="../../../../../../../../../TI_projekt_daten/Audio/024F_ahm_015.wav" TargetMode="External"/><Relationship Id="rId329" Type="http://schemas.openxmlformats.org/officeDocument/2006/relationships/hyperlink" Target="../../../../../../../../../TI_projekt_daten/Audio/015M_&#228;h_018.wav" TargetMode="External"/><Relationship Id="rId480" Type="http://schemas.openxmlformats.org/officeDocument/2006/relationships/hyperlink" Target="../../../../../../../../../TI_projekt_daten/Audio/017M_&#228;h_019.wav" TargetMode="External"/><Relationship Id="rId536" Type="http://schemas.openxmlformats.org/officeDocument/2006/relationships/hyperlink" Target="../../../../../../../../../TI_projekt_daten/Audio/015M_&#228;h_037.wav" TargetMode="External"/><Relationship Id="rId701" Type="http://schemas.openxmlformats.org/officeDocument/2006/relationships/hyperlink" Target="../../../../../../../../../TI_projekt_daten/Audio/005M_&#228;hm_012.wav" TargetMode="External"/><Relationship Id="rId68" Type="http://schemas.openxmlformats.org/officeDocument/2006/relationships/hyperlink" Target="..\..\..\..\..\..\..\..\..\TI_projekt_daten\Audio\002M_&#228;h_016.wav" TargetMode="External"/><Relationship Id="rId133" Type="http://schemas.openxmlformats.org/officeDocument/2006/relationships/hyperlink" Target="..\..\..\..\..\..\..\..\..\TI_projekt_daten\Audio\014M_&#228;h_002.wav" TargetMode="External"/><Relationship Id="rId175" Type="http://schemas.openxmlformats.org/officeDocument/2006/relationships/hyperlink" Target="..\..\..\..\..\..\..\..\..\TI_projekt_daten\Audio\017M_&#228;h_004.wav" TargetMode="External"/><Relationship Id="rId340" Type="http://schemas.openxmlformats.org/officeDocument/2006/relationships/hyperlink" Target="../../../../../../../../../TI_projekt_daten/Audio/015M_&#228;h_029.wav" TargetMode="External"/><Relationship Id="rId578" Type="http://schemas.openxmlformats.org/officeDocument/2006/relationships/hyperlink" Target="../../../../../../../../../TI_projekt_daten/Audio/026F_&#228;h_007.wav" TargetMode="External"/><Relationship Id="rId743" Type="http://schemas.openxmlformats.org/officeDocument/2006/relationships/hyperlink" Target="../../../../../../../../../TI_projekt_daten/Audio/015M_&#228;h_066.wav" TargetMode="External"/><Relationship Id="rId785" Type="http://schemas.openxmlformats.org/officeDocument/2006/relationships/hyperlink" Target="../../../../../../../../../TI_projekt_daten/Audio/031F_ahm_007.wav" TargetMode="External"/><Relationship Id="rId200" Type="http://schemas.openxmlformats.org/officeDocument/2006/relationships/hyperlink" Target="..\..\..\..\..\..\..\..\..\TI_projekt_daten\Audio\027F_ahm_002.wav" TargetMode="External"/><Relationship Id="rId382" Type="http://schemas.openxmlformats.org/officeDocument/2006/relationships/hyperlink" Target="../../../../../../../../../TI_projekt_daten/Audio/002M_&#228;h_001.wav" TargetMode="External"/><Relationship Id="rId438" Type="http://schemas.openxmlformats.org/officeDocument/2006/relationships/hyperlink" Target="../../../../../../../../../TI_projekt_daten/Audio/036F_&#228;h_010.wav" TargetMode="External"/><Relationship Id="rId603" Type="http://schemas.openxmlformats.org/officeDocument/2006/relationships/hyperlink" Target="../../../../../../../../../TI_projekt_daten/Audio/015M_ahm_006.wav" TargetMode="External"/><Relationship Id="rId645" Type="http://schemas.openxmlformats.org/officeDocument/2006/relationships/hyperlink" Target="../../../../../../../../../TI_projekt_daten/Audio/022F_&#228;h_009.wav" TargetMode="External"/><Relationship Id="rId687" Type="http://schemas.openxmlformats.org/officeDocument/2006/relationships/hyperlink" Target="../../../../../../../../../TI_projekt_daten/Audio/015M_&#228;h_056.wav" TargetMode="External"/><Relationship Id="rId810" Type="http://schemas.openxmlformats.org/officeDocument/2006/relationships/hyperlink" Target="../../../../../../../../../TI_projekt_daten/Audio/003M_&#228;h_009.wav" TargetMode="External"/><Relationship Id="rId242" Type="http://schemas.openxmlformats.org/officeDocument/2006/relationships/hyperlink" Target="../../../../../../../../../TI_projekt_daten/Audio/015M_&#228;h_017.wav" TargetMode="External"/><Relationship Id="rId284" Type="http://schemas.openxmlformats.org/officeDocument/2006/relationships/hyperlink" Target="../../../../../../../../../TI_projekt_daten/Audio/009M_&#228;h_002.wav" TargetMode="External"/><Relationship Id="rId491" Type="http://schemas.openxmlformats.org/officeDocument/2006/relationships/hyperlink" Target="../../../../../../../../../TI_projekt_daten/Audio/019M_&#228;h_001.wav" TargetMode="External"/><Relationship Id="rId505" Type="http://schemas.openxmlformats.org/officeDocument/2006/relationships/hyperlink" Target="..\..\..\..\..\..\..\..\..\TI_projekt_daten\Audio\005M_&#228;hm_005.wav" TargetMode="External"/><Relationship Id="rId712" Type="http://schemas.openxmlformats.org/officeDocument/2006/relationships/hyperlink" Target="../../../../../../../../../TI_projekt_daten/Audio/015M_ahm_013.wav" TargetMode="External"/><Relationship Id="rId37" Type="http://schemas.openxmlformats.org/officeDocument/2006/relationships/hyperlink" Target="..\..\..\..\..\..\..\..\..\TI_projekt_daten\Audio\039F_&#228;h_001.wav" TargetMode="External"/><Relationship Id="rId79" Type="http://schemas.openxmlformats.org/officeDocument/2006/relationships/hyperlink" Target="..\..\..\..\..\..\..\..\..\TI_projekt_daten\Audio\015M_&#228;hm_002.wav" TargetMode="External"/><Relationship Id="rId102" Type="http://schemas.openxmlformats.org/officeDocument/2006/relationships/hyperlink" Target="..\..\..\..\..\..\..\..\..\TI_projekt_daten\Audio\012M_&#228;h_005.wav" TargetMode="External"/><Relationship Id="rId144" Type="http://schemas.openxmlformats.org/officeDocument/2006/relationships/hyperlink" Target="../../../../../../../../../TI_projekt_daten/Audio/036F_ahm_001.wav" TargetMode="External"/><Relationship Id="rId547" Type="http://schemas.openxmlformats.org/officeDocument/2006/relationships/hyperlink" Target="../../../../../../../../../TI_projekt_daten/Audio/021F_&#228;h_009.wav" TargetMode="External"/><Relationship Id="rId589" Type="http://schemas.openxmlformats.org/officeDocument/2006/relationships/hyperlink" Target="../../../../../../../../../TI_projekt_daten/Audio/016M_&#228;hm_008.wav" TargetMode="External"/><Relationship Id="rId754" Type="http://schemas.openxmlformats.org/officeDocument/2006/relationships/hyperlink" Target="../../../../../../../../../TI_projekt_daten/Audio/016M_ahm_037.wav" TargetMode="External"/><Relationship Id="rId796" Type="http://schemas.openxmlformats.org/officeDocument/2006/relationships/hyperlink" Target="../../../../../../../../../TI_projekt_daten/Audio/008M_ahm_005.wav" TargetMode="External"/><Relationship Id="rId90" Type="http://schemas.openxmlformats.org/officeDocument/2006/relationships/hyperlink" Target="../../../../../../../../../TI_projekt_daten/Audio/015M_ahm_001.wav" TargetMode="External"/><Relationship Id="rId186" Type="http://schemas.openxmlformats.org/officeDocument/2006/relationships/hyperlink" Target="../../../../../../../../../TI_projekt_daten/Audio/012M_ahm_005.wav" TargetMode="External"/><Relationship Id="rId351" Type="http://schemas.openxmlformats.org/officeDocument/2006/relationships/hyperlink" Target="../../../../../../../../../TI_projekt_daten/Audio/016M_ahm_008.wav" TargetMode="External"/><Relationship Id="rId393" Type="http://schemas.openxmlformats.org/officeDocument/2006/relationships/hyperlink" Target="../../../../../../../../../TI_projekt_daten/Audio/005M_&#228;h_002.wav" TargetMode="External"/><Relationship Id="rId407" Type="http://schemas.openxmlformats.org/officeDocument/2006/relationships/hyperlink" Target="../../../../../../../../../TI_projekt_daten/Audio/037F_&#228;h_004.wav" TargetMode="External"/><Relationship Id="rId449" Type="http://schemas.openxmlformats.org/officeDocument/2006/relationships/hyperlink" Target="..\..\..\..\..\..\..\..\..\TI_projekt_daten\Audio\030F_ahm_008.wav" TargetMode="External"/><Relationship Id="rId614" Type="http://schemas.openxmlformats.org/officeDocument/2006/relationships/hyperlink" Target="..\..\..\..\..\..\..\..\..\TI_projekt_daten\Audio\037F_ahm_012.wav" TargetMode="External"/><Relationship Id="rId656" Type="http://schemas.openxmlformats.org/officeDocument/2006/relationships/hyperlink" Target="../../../../../../../../../TI_projekt_daten/Audio/036F_&#228;h_016.wav" TargetMode="External"/><Relationship Id="rId821" Type="http://schemas.openxmlformats.org/officeDocument/2006/relationships/hyperlink" Target="../../../../../../../../../TI_projekt_daten/Audio/024F_&#228;hm_009.wav" TargetMode="External"/><Relationship Id="rId211" Type="http://schemas.openxmlformats.org/officeDocument/2006/relationships/hyperlink" Target="..\..\..\..\..\..\..\..\..\TI_projekt_daten\Audio\017M_&#228;h_007.wav" TargetMode="External"/><Relationship Id="rId253" Type="http://schemas.openxmlformats.org/officeDocument/2006/relationships/hyperlink" Target="..\..\..\..\..\..\..\..\..\TI_projekt_daten\Audio\013M_&#228;h_001.wav" TargetMode="External"/><Relationship Id="rId295" Type="http://schemas.openxmlformats.org/officeDocument/2006/relationships/hyperlink" Target="../../../../../../../../../TI_projekt_daten/Audio/009M_ahm_002.wav" TargetMode="External"/><Relationship Id="rId309" Type="http://schemas.openxmlformats.org/officeDocument/2006/relationships/hyperlink" Target="../../../../../../../../../TI_projekt_daten/Audio/013M_ahm_002.wav" TargetMode="External"/><Relationship Id="rId460" Type="http://schemas.openxmlformats.org/officeDocument/2006/relationships/hyperlink" Target="../../../../../../../../../TI_projekt_daten/Audio/037F_&#228;h_005.wav" TargetMode="External"/><Relationship Id="rId516" Type="http://schemas.openxmlformats.org/officeDocument/2006/relationships/hyperlink" Target="../../../../../../../../../TI_projekt_daten/Audio/030F_&#228;hm_001.wav" TargetMode="External"/><Relationship Id="rId698" Type="http://schemas.openxmlformats.org/officeDocument/2006/relationships/hyperlink" Target="../../../../../../../../../TI_projekt_daten/Audio/012M_&#228;h_025.wav" TargetMode="External"/><Relationship Id="rId48" Type="http://schemas.openxmlformats.org/officeDocument/2006/relationships/hyperlink" Target="..\..\..\..\..\..\..\..\..\TI_projekt_daten\Audio\002M_&#228;h_004.wav" TargetMode="External"/><Relationship Id="rId113" Type="http://schemas.openxmlformats.org/officeDocument/2006/relationships/hyperlink" Target="..\..\..\..\..\..\..\..\..\TI_projekt_daten\Audio\015M_&#228;hm_005.wav" TargetMode="External"/><Relationship Id="rId320" Type="http://schemas.openxmlformats.org/officeDocument/2006/relationships/hyperlink" Target="../../../../../../../../../TI_projekt_daten/Audio/014M_ahm_006.wav" TargetMode="External"/><Relationship Id="rId558" Type="http://schemas.openxmlformats.org/officeDocument/2006/relationships/hyperlink" Target="../../../../../../../../../TI_projekt_daten/Audio/026F_&#228;h_005.wav" TargetMode="External"/><Relationship Id="rId723" Type="http://schemas.openxmlformats.org/officeDocument/2006/relationships/hyperlink" Target="../../../../../../../../../TI_projekt_daten/Audio/015M_&#228;h_062.wav" TargetMode="External"/><Relationship Id="rId765" Type="http://schemas.openxmlformats.org/officeDocument/2006/relationships/hyperlink" Target="../../../../../../../../../TI_projekt_daten/Audio/016M_&#228;h_016.wav" TargetMode="External"/><Relationship Id="rId155" Type="http://schemas.openxmlformats.org/officeDocument/2006/relationships/hyperlink" Target="..\..\..\..\..\..\..\..\..\TI_projekt_daten\Audio\012M_ahm_003.wav" TargetMode="External"/><Relationship Id="rId197" Type="http://schemas.openxmlformats.org/officeDocument/2006/relationships/hyperlink" Target="../../../../../../../../../TI_projekt_daten/Audio/028F_&#228;h_003.wav" TargetMode="External"/><Relationship Id="rId362" Type="http://schemas.openxmlformats.org/officeDocument/2006/relationships/hyperlink" Target="../../../../../../../../../TI_projekt_daten/Audio/037F_&#228;h_003.wav" TargetMode="External"/><Relationship Id="rId418" Type="http://schemas.openxmlformats.org/officeDocument/2006/relationships/hyperlink" Target="../../../../../../../../../TI_projekt_daten/Audio/019M_&#228;hm_001.wav" TargetMode="External"/><Relationship Id="rId625" Type="http://schemas.openxmlformats.org/officeDocument/2006/relationships/hyperlink" Target="../../../../../../../../../TI_projekt_daten/Audio/017M_&#228;h_026.wav" TargetMode="External"/><Relationship Id="rId222" Type="http://schemas.openxmlformats.org/officeDocument/2006/relationships/hyperlink" Target="..\..\..\..\..\..\..\..\..\TI_projekt_daten\Audio\008M_&#228;h_004.wav" TargetMode="External"/><Relationship Id="rId264" Type="http://schemas.openxmlformats.org/officeDocument/2006/relationships/hyperlink" Target="../../../../../../../../../TI_projekt_daten/Audio/024F_ahm_006.wav" TargetMode="External"/><Relationship Id="rId471" Type="http://schemas.openxmlformats.org/officeDocument/2006/relationships/hyperlink" Target="../../../../../../../../../TI_projekt_daten/Audio/016M_ahm_021.wav" TargetMode="External"/><Relationship Id="rId667" Type="http://schemas.openxmlformats.org/officeDocument/2006/relationships/hyperlink" Target="../../../../../../../../../TI_projekt_daten/Audio/005M_&#228;h_019.wav" TargetMode="External"/><Relationship Id="rId17" Type="http://schemas.openxmlformats.org/officeDocument/2006/relationships/hyperlink" Target="..\..\..\..\..\..\..\..\..\TI_projekt_daten\Audio\038F_ahm_005.wav" TargetMode="External"/><Relationship Id="rId59" Type="http://schemas.openxmlformats.org/officeDocument/2006/relationships/hyperlink" Target="..\..\..\..\..\..\..\..\..\TI_projekt_daten\Audio\003M_&#228;h_016.wav" TargetMode="External"/><Relationship Id="rId124" Type="http://schemas.openxmlformats.org/officeDocument/2006/relationships/hyperlink" Target="../../../../../../../../../TI_projekt_daten/Audio/028F_ahm_001.wav" TargetMode="External"/><Relationship Id="rId527" Type="http://schemas.openxmlformats.org/officeDocument/2006/relationships/hyperlink" Target="../../../../../../../../../TI_projekt_daten/Audio/015M_&#228;hm_023.wav" TargetMode="External"/><Relationship Id="rId569" Type="http://schemas.openxmlformats.org/officeDocument/2006/relationships/hyperlink" Target="../../../../../../../../../TI_projekt_daten/Audio/037F_&#228;h_008.wav" TargetMode="External"/><Relationship Id="rId734" Type="http://schemas.openxmlformats.org/officeDocument/2006/relationships/hyperlink" Target="../../../../../../../../../TI_projekt_daten/Audio/039F_&#228;hm_005.wav" TargetMode="External"/><Relationship Id="rId776" Type="http://schemas.openxmlformats.org/officeDocument/2006/relationships/hyperlink" Target="../../../../../../../../../TI_projekt_daten/Audio/038F_ahm_016.wav" TargetMode="External"/><Relationship Id="rId70" Type="http://schemas.openxmlformats.org/officeDocument/2006/relationships/hyperlink" Target="../../../../../../../../../TI_projekt_daten/Audio/002M_&#228;h_019.wav" TargetMode="External"/><Relationship Id="rId166" Type="http://schemas.openxmlformats.org/officeDocument/2006/relationships/hyperlink" Target="..\..\..\..\..\..\..\..\..\TI_projekt_daten\Audio\028F_&#228;hm_005.wav" TargetMode="External"/><Relationship Id="rId331" Type="http://schemas.openxmlformats.org/officeDocument/2006/relationships/hyperlink" Target="../../../../../../../../../TI_projekt_daten/Audio/015M_&#228;h_020.wav" TargetMode="External"/><Relationship Id="rId373" Type="http://schemas.openxmlformats.org/officeDocument/2006/relationships/hyperlink" Target="..\..\..\..\..\..\..\..\..\TI_projekt_daten\Audio\011M_ahm_002.wav" TargetMode="External"/><Relationship Id="rId429" Type="http://schemas.openxmlformats.org/officeDocument/2006/relationships/hyperlink" Target="../../../../../../../../../TI_projekt_daten/Audio/008M_&#228;hm_002.wav" TargetMode="External"/><Relationship Id="rId580" Type="http://schemas.openxmlformats.org/officeDocument/2006/relationships/hyperlink" Target="../../../../../../../../../TI_projekt_daten/Audio/028F_&#228;hm_015.wav" TargetMode="External"/><Relationship Id="rId636" Type="http://schemas.openxmlformats.org/officeDocument/2006/relationships/hyperlink" Target="../../../../../../../../../TI_projekt_daten/Audio/012M_&#228;hm_002.wav" TargetMode="External"/><Relationship Id="rId801" Type="http://schemas.openxmlformats.org/officeDocument/2006/relationships/hyperlink" Target="../../../../../../../../../TI_projekt_daten/Audio/025F_&#228;h_007.wav" TargetMode="External"/><Relationship Id="rId1" Type="http://schemas.openxmlformats.org/officeDocument/2006/relationships/hyperlink" Target="../../../../../../../../../TI_projekt_daten/Audio/028F_&#228;hm_001.wav" TargetMode="External"/><Relationship Id="rId233" Type="http://schemas.openxmlformats.org/officeDocument/2006/relationships/hyperlink" Target="..\..\..\..\..\..\..\..\..\TI_projekt_daten\Audio\039F_&#228;h_003.wav" TargetMode="External"/><Relationship Id="rId440" Type="http://schemas.openxmlformats.org/officeDocument/2006/relationships/hyperlink" Target="..\..\..\..\..\..\..\..\..\TI_projekt_daten\Audio\035F_ahm_001.wav" TargetMode="External"/><Relationship Id="rId678" Type="http://schemas.openxmlformats.org/officeDocument/2006/relationships/hyperlink" Target="../../../../../../../../../TI_projekt_daten/Audio/039F_&#228;h_012.wav" TargetMode="External"/><Relationship Id="rId28" Type="http://schemas.openxmlformats.org/officeDocument/2006/relationships/hyperlink" Target="..\..\..\..\..\..\..\..\..\TI_projekt_daten\Audio\010M_&#228;h_001.wav" TargetMode="External"/><Relationship Id="rId275" Type="http://schemas.openxmlformats.org/officeDocument/2006/relationships/hyperlink" Target="..\..\..\..\..\..\..\..\..\TI_projekt_daten\Audio\006M_&#228;h_005.wav" TargetMode="External"/><Relationship Id="rId300" Type="http://schemas.openxmlformats.org/officeDocument/2006/relationships/hyperlink" Target="../../../../../../../../../TI_projekt_daten/Audio/010M_&#228;h_005.wav" TargetMode="External"/><Relationship Id="rId482" Type="http://schemas.openxmlformats.org/officeDocument/2006/relationships/hyperlink" Target="../../../../../../../../../TI_projekt_daten/Audio/021F_&#228;h_006.wav" TargetMode="External"/><Relationship Id="rId538" Type="http://schemas.openxmlformats.org/officeDocument/2006/relationships/hyperlink" Target="../../../../../../../../../TI_projekt_daten/Audio/021F_&#228;h_008.wav" TargetMode="External"/><Relationship Id="rId703" Type="http://schemas.openxmlformats.org/officeDocument/2006/relationships/hyperlink" Target="../../../../../../../../../TI_projekt_daten/Audio/037F_ahm_014.wav" TargetMode="External"/><Relationship Id="rId745" Type="http://schemas.openxmlformats.org/officeDocument/2006/relationships/hyperlink" Target="../../../../../../../../../TI_projekt_daten/Audio/015M_&#228;h_067.wav" TargetMode="External"/><Relationship Id="rId81" Type="http://schemas.openxmlformats.org/officeDocument/2006/relationships/hyperlink" Target="..\..\..\..\..\..\..\..\..\TI_projekt_daten\Audio\038F_&#228;h_001.wav" TargetMode="External"/><Relationship Id="rId135" Type="http://schemas.openxmlformats.org/officeDocument/2006/relationships/hyperlink" Target="../../../../../../../../../TI_projekt_daten/Audio/016M_ahm_006.wav" TargetMode="External"/><Relationship Id="rId177" Type="http://schemas.openxmlformats.org/officeDocument/2006/relationships/hyperlink" Target="../../../../../../../../../TI_projekt_daten/Audio/021F_&#228;hm_001.wav" TargetMode="External"/><Relationship Id="rId342" Type="http://schemas.openxmlformats.org/officeDocument/2006/relationships/hyperlink" Target="../../../../../../../../../TI_projekt_daten/Audio/037F_&#228;h_002.wav" TargetMode="External"/><Relationship Id="rId384" Type="http://schemas.openxmlformats.org/officeDocument/2006/relationships/hyperlink" Target="../../../../../../../../../TI_projekt_daten/Audio/001M_ahm_004.wav" TargetMode="External"/><Relationship Id="rId591" Type="http://schemas.openxmlformats.org/officeDocument/2006/relationships/hyperlink" Target="../../../../../../../../../TI_projekt_daten/Audio/023F_&#228;h_011.wav" TargetMode="External"/><Relationship Id="rId605" Type="http://schemas.openxmlformats.org/officeDocument/2006/relationships/hyperlink" Target="../../../../../../../../../TI_projekt_daten/Audio/021F_&#228;hm_002.wav" TargetMode="External"/><Relationship Id="rId787" Type="http://schemas.openxmlformats.org/officeDocument/2006/relationships/hyperlink" Target="../../../../../../../../../TI_projekt_daten/Audio/027F_&#228;h_004.wav" TargetMode="External"/><Relationship Id="rId812" Type="http://schemas.openxmlformats.org/officeDocument/2006/relationships/hyperlink" Target="../../../../../../../../../TI_projekt_daten/Audio/004M_ahm_003.wav" TargetMode="External"/><Relationship Id="rId202" Type="http://schemas.openxmlformats.org/officeDocument/2006/relationships/hyperlink" Target="../../../../../../../../../TI_projekt_daten/Audio/036F_&#228;h_008.wav" TargetMode="External"/><Relationship Id="rId244" Type="http://schemas.openxmlformats.org/officeDocument/2006/relationships/hyperlink" Target="..\..\..\..\..\..\..\..\..\TI_projekt_daten\Audio\037F_ahm_004.wav" TargetMode="External"/><Relationship Id="rId647" Type="http://schemas.openxmlformats.org/officeDocument/2006/relationships/hyperlink" Target="../../../../../../../../../TI_projekt_daten/Audio/008M_&#228;h_006.wav" TargetMode="External"/><Relationship Id="rId689" Type="http://schemas.openxmlformats.org/officeDocument/2006/relationships/hyperlink" Target="../../../../../../../../../TI_projekt_daten/Audio/008M_ahm_002.wav" TargetMode="External"/><Relationship Id="rId39" Type="http://schemas.openxmlformats.org/officeDocument/2006/relationships/hyperlink" Target="..\..\..\..\..\..\..\..\..\TI_projekt_daten\Audio\003M_&#228;h_007.wav" TargetMode="External"/><Relationship Id="rId286" Type="http://schemas.openxmlformats.org/officeDocument/2006/relationships/hyperlink" Target="..\..\..\..\..\..\..\..\..\TI_projekt_daten\Audio\009M_&#228;h_004.wav" TargetMode="External"/><Relationship Id="rId451" Type="http://schemas.openxmlformats.org/officeDocument/2006/relationships/hyperlink" Target="..\..\..\..\..\..\..\..\..\TI_projekt_daten\Audio\031F_ahm_005.wav" TargetMode="External"/><Relationship Id="rId493" Type="http://schemas.openxmlformats.org/officeDocument/2006/relationships/hyperlink" Target="..\..\..\..\..\..\..\..\..\TI_projekt_daten\Audio\023F_&#228;h_007.wav" TargetMode="External"/><Relationship Id="rId507" Type="http://schemas.openxmlformats.org/officeDocument/2006/relationships/hyperlink" Target="../../../../../../../../../TI_projekt_daten/Audio/005M_&#228;h_008.wav" TargetMode="External"/><Relationship Id="rId549" Type="http://schemas.openxmlformats.org/officeDocument/2006/relationships/hyperlink" Target="../../../../../../../../../TI_projekt_daten/Audio/028F_&#228;hm_014.wav" TargetMode="External"/><Relationship Id="rId714" Type="http://schemas.openxmlformats.org/officeDocument/2006/relationships/hyperlink" Target="../../../../../../../../../TI_projekt_daten/Audio/015M_&#228;h_060.wav" TargetMode="External"/><Relationship Id="rId756" Type="http://schemas.openxmlformats.org/officeDocument/2006/relationships/hyperlink" Target="../../../../../../../../../TI_projekt_daten/Audio/016M_ahm_038.wav" TargetMode="External"/><Relationship Id="rId50" Type="http://schemas.openxmlformats.org/officeDocument/2006/relationships/hyperlink" Target="../../../../../../../../../TI_projekt_daten/Audio/001M_ahm_006.wav" TargetMode="External"/><Relationship Id="rId104" Type="http://schemas.openxmlformats.org/officeDocument/2006/relationships/hyperlink" Target="..\..\..\..\..\..\..\..\..\TI_projekt_daten\Audio\015M_&#228;h_003.wav" TargetMode="External"/><Relationship Id="rId146" Type="http://schemas.openxmlformats.org/officeDocument/2006/relationships/hyperlink" Target="../../../../../../../../../TI_projekt_daten/Audio/031F_ahm_001.wav" TargetMode="External"/><Relationship Id="rId188" Type="http://schemas.openxmlformats.org/officeDocument/2006/relationships/hyperlink" Target="..\..\..\..\..\..\..\..\..\TI_projekt_daten\Audio\037F_&#228;hm_001.wav" TargetMode="External"/><Relationship Id="rId311" Type="http://schemas.openxmlformats.org/officeDocument/2006/relationships/hyperlink" Target="..\..\..\..\..\..\..\..\..\TI_projekt_daten\Audio\013M_ahm_004.wav" TargetMode="External"/><Relationship Id="rId353" Type="http://schemas.openxmlformats.org/officeDocument/2006/relationships/hyperlink" Target="../../../../../../../../../TI_projekt_daten/Audio/037F_&#228;hm_002.wav" TargetMode="External"/><Relationship Id="rId395" Type="http://schemas.openxmlformats.org/officeDocument/2006/relationships/hyperlink" Target="../../../../../../../../../TI_projekt_daten/Audio/039F_&#228;h_006.wav" TargetMode="External"/><Relationship Id="rId409" Type="http://schemas.openxmlformats.org/officeDocument/2006/relationships/hyperlink" Target="../../../../../../../../../TI_projekt_daten/Audio/028F_&#228;hm_011.wav" TargetMode="External"/><Relationship Id="rId560" Type="http://schemas.openxmlformats.org/officeDocument/2006/relationships/hyperlink" Target="../../../../../../../../../TI_projekt_daten/Audio/005M_&#228;h_011.wav" TargetMode="External"/><Relationship Id="rId798" Type="http://schemas.openxmlformats.org/officeDocument/2006/relationships/hyperlink" Target="../../../../../../../../../TI_projekt_daten/Audio/026F_&#228;h_011.wav" TargetMode="External"/><Relationship Id="rId92" Type="http://schemas.openxmlformats.org/officeDocument/2006/relationships/hyperlink" Target="..\..\..\..\..\..\..\..\..\TI_projekt_daten\Audio\038F_ahm_003.wav" TargetMode="External"/><Relationship Id="rId213" Type="http://schemas.openxmlformats.org/officeDocument/2006/relationships/hyperlink" Target="../../../../../../../../../TI_projekt_daten/Audio/021F_&#228;h_004.wav" TargetMode="External"/><Relationship Id="rId420" Type="http://schemas.openxmlformats.org/officeDocument/2006/relationships/hyperlink" Target="../../../../../../../../../TI_projekt_daten/Audio/039F_&#228;hm_002.wav" TargetMode="External"/><Relationship Id="rId616" Type="http://schemas.openxmlformats.org/officeDocument/2006/relationships/hyperlink" Target="../../../../../../../../../TI_projekt_daten/Audio/017M_&#228;h_023.wav" TargetMode="External"/><Relationship Id="rId658" Type="http://schemas.openxmlformats.org/officeDocument/2006/relationships/hyperlink" Target="../../../../../../../../../TI_projekt_daten/Audio/039F_&#228;h_011.wav" TargetMode="External"/><Relationship Id="rId823" Type="http://schemas.openxmlformats.org/officeDocument/2006/relationships/hyperlink" Target="../../../../../../../../../TI_projekt_daten/Audio/002M_&#228;h_017.wav" TargetMode="External"/><Relationship Id="rId255" Type="http://schemas.openxmlformats.org/officeDocument/2006/relationships/hyperlink" Target="..\..\..\..\..\..\..\..\..\TI_projekt_daten\Audio\039F_&#228;h_009.wav" TargetMode="External"/><Relationship Id="rId297" Type="http://schemas.openxmlformats.org/officeDocument/2006/relationships/hyperlink" Target="../../../../../../../../../TI_projekt_daten/Audio/009M_ahm_004.wav" TargetMode="External"/><Relationship Id="rId462" Type="http://schemas.openxmlformats.org/officeDocument/2006/relationships/hyperlink" Target="../../../../../../../../../TI_projekt_daten/Audio/005M_&#228;h_005.wav" TargetMode="External"/><Relationship Id="rId518" Type="http://schemas.openxmlformats.org/officeDocument/2006/relationships/hyperlink" Target="../../../../../../../../../TI_projekt_daten/Audio/015M_&#228;hm_021.wav" TargetMode="External"/><Relationship Id="rId725" Type="http://schemas.openxmlformats.org/officeDocument/2006/relationships/hyperlink" Target="../../../../../../../../../TI_projekt_daten/Audio/015M_&#228;h_063.wav" TargetMode="External"/><Relationship Id="rId115" Type="http://schemas.openxmlformats.org/officeDocument/2006/relationships/hyperlink" Target="..\..\..\..\..\..\..\..\..\TI_projekt_daten\Audio\030F_ahm_001.wav" TargetMode="External"/><Relationship Id="rId157" Type="http://schemas.openxmlformats.org/officeDocument/2006/relationships/hyperlink" Target="..\..\..\..\..\..\..\..\..\TI_projekt_daten\Audio\031F_ahm_002.wav" TargetMode="External"/><Relationship Id="rId322" Type="http://schemas.openxmlformats.org/officeDocument/2006/relationships/hyperlink" Target="../../../../../../../../../TI_projekt_daten/Audio/014M_ahm_008.wav" TargetMode="External"/><Relationship Id="rId364" Type="http://schemas.openxmlformats.org/officeDocument/2006/relationships/hyperlink" Target="../../../../../../../../../TI_projekt_daten/Audio/016M_&#228;hm_013.wav" TargetMode="External"/><Relationship Id="rId767" Type="http://schemas.openxmlformats.org/officeDocument/2006/relationships/hyperlink" Target="../../../../../../../../../TI_projekt_daten/Audio/038F_&#228;hm_008.wav" TargetMode="External"/><Relationship Id="rId61" Type="http://schemas.openxmlformats.org/officeDocument/2006/relationships/hyperlink" Target="../../../../../../../../../TI_projekt_daten/Audio/023F_&#228;h_009.wav" TargetMode="External"/><Relationship Id="rId199" Type="http://schemas.openxmlformats.org/officeDocument/2006/relationships/hyperlink" Target="../../../../../../../../../TI_projekt_daten/Audio/015M_&#228;h_011.wav" TargetMode="External"/><Relationship Id="rId571" Type="http://schemas.openxmlformats.org/officeDocument/2006/relationships/hyperlink" Target="../../../../../../../../../TI_projekt_daten/Audio/017M_ahm_001.wav" TargetMode="External"/><Relationship Id="rId627" Type="http://schemas.openxmlformats.org/officeDocument/2006/relationships/hyperlink" Target="../../../../../../../../../TI_projekt_daten/Audio/036F_&#228;h_015.wav" TargetMode="External"/><Relationship Id="rId669" Type="http://schemas.openxmlformats.org/officeDocument/2006/relationships/hyperlink" Target="../../../../../../../../../TI_projekt_daten/Audio/011M_&#228;hm_008.wav" TargetMode="External"/><Relationship Id="rId19" Type="http://schemas.openxmlformats.org/officeDocument/2006/relationships/hyperlink" Target="..\..\..\..\..\..\..\..\..\TI_projekt_daten\Audio\016M_ahm_002.wav" TargetMode="External"/><Relationship Id="rId224" Type="http://schemas.openxmlformats.org/officeDocument/2006/relationships/hyperlink" Target="..\..\..\..\..\..\..\..\..\TI_projekt_daten\Audio\028F_&#228;h_005.wav" TargetMode="External"/><Relationship Id="rId266" Type="http://schemas.openxmlformats.org/officeDocument/2006/relationships/hyperlink" Target="../../../../../../../../../TI_projekt_daten/Audio/024F_ahm_008.wav" TargetMode="External"/><Relationship Id="rId431" Type="http://schemas.openxmlformats.org/officeDocument/2006/relationships/hyperlink" Target="../../../../../../../../../TI_projekt_daten/Audio/028F_&#228;hm_012.wav" TargetMode="External"/><Relationship Id="rId473" Type="http://schemas.openxmlformats.org/officeDocument/2006/relationships/hyperlink" Target="../../../../../../../../../TI_projekt_daten/Audio/030F_ahm_011.wav" TargetMode="External"/><Relationship Id="rId529" Type="http://schemas.openxmlformats.org/officeDocument/2006/relationships/hyperlink" Target="../../../../../../../../../TI_projekt_daten/Audio/037F_&#228;h_007.wav" TargetMode="External"/><Relationship Id="rId680" Type="http://schemas.openxmlformats.org/officeDocument/2006/relationships/hyperlink" Target="../../../../../../../../../TI_projekt_daten/Audio/016M_&#228;h_012.wav" TargetMode="External"/><Relationship Id="rId736" Type="http://schemas.openxmlformats.org/officeDocument/2006/relationships/hyperlink" Target="../../../../../../../../../TI_projekt_daten/Audio/015M_&#228;h_064.wav" TargetMode="External"/><Relationship Id="rId30" Type="http://schemas.openxmlformats.org/officeDocument/2006/relationships/hyperlink" Target="..\..\..\..\..\..\..\..\..\TI_projekt_daten\Audio\022F_ahm_001.wav" TargetMode="External"/><Relationship Id="rId126" Type="http://schemas.openxmlformats.org/officeDocument/2006/relationships/hyperlink" Target="../../../../../../../../../TI_projekt_daten/Audio/030F_ahm_002.wav" TargetMode="External"/><Relationship Id="rId168" Type="http://schemas.openxmlformats.org/officeDocument/2006/relationships/hyperlink" Target="..\..\..\..\..\..\..\..\..\TI_projekt_daten\Audio\012M_&#228;h_011.wav" TargetMode="External"/><Relationship Id="rId333" Type="http://schemas.openxmlformats.org/officeDocument/2006/relationships/hyperlink" Target="../../../../../../../../../TI_projekt_daten/Audio/015M_&#228;h_022.wav" TargetMode="External"/><Relationship Id="rId540" Type="http://schemas.openxmlformats.org/officeDocument/2006/relationships/hyperlink" Target="../../../../../../../../../TI_projekt_daten/Audio/016M_&#228;h_010.wav" TargetMode="External"/><Relationship Id="rId778" Type="http://schemas.openxmlformats.org/officeDocument/2006/relationships/hyperlink" Target="../../../../../../../../../TI_projekt_daten/Audio/027F_ahm_008.wav" TargetMode="External"/><Relationship Id="rId72" Type="http://schemas.openxmlformats.org/officeDocument/2006/relationships/hyperlink" Target="../../../../../../../../../TI_projekt_daten/Audio/002M_&#228;hm_006.wav" TargetMode="External"/><Relationship Id="rId375" Type="http://schemas.openxmlformats.org/officeDocument/2006/relationships/hyperlink" Target="../../../../../../../../../TI_projekt_daten/Audio/002M_&#228;hm_005.wav" TargetMode="External"/><Relationship Id="rId582" Type="http://schemas.openxmlformats.org/officeDocument/2006/relationships/hyperlink" Target="../../../../../../../../../TI_projekt_daten/Audio/015M_&#228;hm_025.wav" TargetMode="External"/><Relationship Id="rId638" Type="http://schemas.openxmlformats.org/officeDocument/2006/relationships/hyperlink" Target="../../../../../../../../../TI_projekt_daten/Audio/037F_ahm_013.wav" TargetMode="External"/><Relationship Id="rId803" Type="http://schemas.openxmlformats.org/officeDocument/2006/relationships/hyperlink" Target="../../../../../../../../../TI_projekt_daten/Audio/004M_&#228;h_001.wav" TargetMode="External"/><Relationship Id="rId3" Type="http://schemas.openxmlformats.org/officeDocument/2006/relationships/hyperlink" Target="..\..\..\..\..\..\..\..\..\TI_projekt_daten\Audio\003M_&#228;h_001.wav" TargetMode="External"/><Relationship Id="rId235" Type="http://schemas.openxmlformats.org/officeDocument/2006/relationships/hyperlink" Target="..\..\..\..\..\..\..\..\..\TI_projekt_daten\Audio\015M_&#228;h_015.wav" TargetMode="External"/><Relationship Id="rId277" Type="http://schemas.openxmlformats.org/officeDocument/2006/relationships/hyperlink" Target="..\..\..\..\..\..\..\..\..\TI_projekt_daten\Audio\006M_&#228;h_007.wav" TargetMode="External"/><Relationship Id="rId400" Type="http://schemas.openxmlformats.org/officeDocument/2006/relationships/hyperlink" Target="../../../../../../../../../TI_projekt_daten/Audio/016M_ahm_012.wav" TargetMode="External"/><Relationship Id="rId442" Type="http://schemas.openxmlformats.org/officeDocument/2006/relationships/hyperlink" Target="..\..\..\..\..\..\..\..\..\TI_projekt_daten\Audio\017M_&#228;h_014.wav" TargetMode="External"/><Relationship Id="rId484" Type="http://schemas.openxmlformats.org/officeDocument/2006/relationships/hyperlink" Target="../../../../../../../../../TI_projekt_daten/Audio/011M_&#228;h_002.wav" TargetMode="External"/><Relationship Id="rId705" Type="http://schemas.openxmlformats.org/officeDocument/2006/relationships/hyperlink" Target="../../../../../../../../../TI_projekt_daten/Audio/016M_ahm_026.wav" TargetMode="External"/><Relationship Id="rId137" Type="http://schemas.openxmlformats.org/officeDocument/2006/relationships/hyperlink" Target="../../../../../../../../../TI_projekt_daten/Audio/012M_&#228;h_007.wav" TargetMode="External"/><Relationship Id="rId302" Type="http://schemas.openxmlformats.org/officeDocument/2006/relationships/hyperlink" Target="../../../../../../../../../TI_projekt_daten/Audio/010M_&#228;h_007.wav" TargetMode="External"/><Relationship Id="rId344" Type="http://schemas.openxmlformats.org/officeDocument/2006/relationships/hyperlink" Target="../../../../../../../../../TI_projekt_daten/Audio/012M_ahm_008.wav" TargetMode="External"/><Relationship Id="rId691" Type="http://schemas.openxmlformats.org/officeDocument/2006/relationships/hyperlink" Target="../../../../../../../../../TI_projekt_daten/Audio/015M_&#228;h_057.wav" TargetMode="External"/><Relationship Id="rId747" Type="http://schemas.openxmlformats.org/officeDocument/2006/relationships/hyperlink" Target="../../../../../../../../../TI_projekt_daten/Audio/015M_&#228;hm_040.wav" TargetMode="External"/><Relationship Id="rId789" Type="http://schemas.openxmlformats.org/officeDocument/2006/relationships/hyperlink" Target="../../../../../../../../../TI_projekt_daten/Audio/016M_ahm_045.wav" TargetMode="External"/><Relationship Id="rId41" Type="http://schemas.openxmlformats.org/officeDocument/2006/relationships/hyperlink" Target="..\..\..\..\..\..\..\..\..\TI_projekt_daten\Audio\003M_ahm_003.wav" TargetMode="External"/><Relationship Id="rId83" Type="http://schemas.openxmlformats.org/officeDocument/2006/relationships/hyperlink" Target="..\..\..\..\..\..\..\..\..\TI_projekt_daten\Audio\012M_&#228;h_001.wav" TargetMode="External"/><Relationship Id="rId179" Type="http://schemas.openxmlformats.org/officeDocument/2006/relationships/hyperlink" Target="../../../../../../../../../TI_projekt_daten/Audio/038F_ahm_007.wav" TargetMode="External"/><Relationship Id="rId386" Type="http://schemas.openxmlformats.org/officeDocument/2006/relationships/hyperlink" Target="../../../../../../../../../TI_projekt_daten/Audio/035F_&#228;h_004.wav" TargetMode="External"/><Relationship Id="rId551" Type="http://schemas.openxmlformats.org/officeDocument/2006/relationships/hyperlink" Target="../../../../../../../../../TI_projekt_daten/Audio/015M_&#228;h_039.wav" TargetMode="External"/><Relationship Id="rId593" Type="http://schemas.openxmlformats.org/officeDocument/2006/relationships/hyperlink" Target="../../../../../../../../../TI_projekt_daten/Audio/026F_&#228;hm_003.wav" TargetMode="External"/><Relationship Id="rId607" Type="http://schemas.openxmlformats.org/officeDocument/2006/relationships/hyperlink" Target="../../../../../../../../../TI_projekt_daten/Audio/037F_ahm_010.wav" TargetMode="External"/><Relationship Id="rId649" Type="http://schemas.openxmlformats.org/officeDocument/2006/relationships/hyperlink" Target="../../../../../../../../../TI_projekt_daten/Audio/017M_&#228;h_030.wav" TargetMode="External"/><Relationship Id="rId814" Type="http://schemas.openxmlformats.org/officeDocument/2006/relationships/hyperlink" Target="../../../../../../../../../TI_projekt_daten/Audio/002M_&#228;h_006.wav" TargetMode="External"/><Relationship Id="rId190" Type="http://schemas.openxmlformats.org/officeDocument/2006/relationships/hyperlink" Target="../../../../../../../../../TI_projekt_daten/Audio/021F_&#228;h_003.wav" TargetMode="External"/><Relationship Id="rId204" Type="http://schemas.openxmlformats.org/officeDocument/2006/relationships/hyperlink" Target="..\..\..\..\..\..\..\..\..\TI_projekt_daten\Audio\017M_&#228;h_006.wav" TargetMode="External"/><Relationship Id="rId246" Type="http://schemas.openxmlformats.org/officeDocument/2006/relationships/hyperlink" Target="..\..\..\..\..\..\..\..\..\TI_projekt_daten\Audio\011M_&#228;hm_003.wav" TargetMode="External"/><Relationship Id="rId288" Type="http://schemas.openxmlformats.org/officeDocument/2006/relationships/hyperlink" Target="../../../../../../../../../TI_projekt_daten/Audio/009M_&#228;h_006.wav" TargetMode="External"/><Relationship Id="rId411" Type="http://schemas.openxmlformats.org/officeDocument/2006/relationships/hyperlink" Target="../../../../../../../../../TI_projekt_daten/Audio/028F_ahm_004.wav" TargetMode="External"/><Relationship Id="rId453" Type="http://schemas.openxmlformats.org/officeDocument/2006/relationships/hyperlink" Target="../../../../../../../../../TI_projekt_daten/Audio/016M_ahm_018.wav" TargetMode="External"/><Relationship Id="rId509" Type="http://schemas.openxmlformats.org/officeDocument/2006/relationships/hyperlink" Target="../../../../../../../../../TI_projekt_daten/Audio/012M_ahm_012.wav" TargetMode="External"/><Relationship Id="rId660" Type="http://schemas.openxmlformats.org/officeDocument/2006/relationships/hyperlink" Target="../../../../../../../../../TI_projekt_daten/Audio/017M_&#228;h_032.wav" TargetMode="External"/><Relationship Id="rId106" Type="http://schemas.openxmlformats.org/officeDocument/2006/relationships/hyperlink" Target="..\..\..\..\..\..\..\..\..\TI_projekt_daten\Audio\036F_&#228;h_006.wav" TargetMode="External"/><Relationship Id="rId313" Type="http://schemas.openxmlformats.org/officeDocument/2006/relationships/hyperlink" Target="../../../../../../../../../TI_projekt_daten/Audio/014M_&#228;h_006.wav" TargetMode="External"/><Relationship Id="rId495" Type="http://schemas.openxmlformats.org/officeDocument/2006/relationships/hyperlink" Target="..\..\..\..\..\..\..\..\..\TI_projekt_daten\Audio\016M_&#228;h_003.wav" TargetMode="External"/><Relationship Id="rId716" Type="http://schemas.openxmlformats.org/officeDocument/2006/relationships/hyperlink" Target="../../../../../../../../../TI_projekt_daten/Audio/038F_ahm_014.wav" TargetMode="External"/><Relationship Id="rId758" Type="http://schemas.openxmlformats.org/officeDocument/2006/relationships/hyperlink" Target="../../../../../../../../../TI_projekt_daten/Audio/026F_ahm_009.wav" TargetMode="External"/><Relationship Id="rId10" Type="http://schemas.openxmlformats.org/officeDocument/2006/relationships/hyperlink" Target="../../../../../../../../../TI_projekt_daten/Audio/038F_ahm_002.wav" TargetMode="External"/><Relationship Id="rId52" Type="http://schemas.openxmlformats.org/officeDocument/2006/relationships/hyperlink" Target="..\..\..\..\..\..\..\..\..\TI_projekt_daten\Audio\023F_&#228;h_005.wav" TargetMode="External"/><Relationship Id="rId94" Type="http://schemas.openxmlformats.org/officeDocument/2006/relationships/hyperlink" Target="../../../../../../../../../TI_projekt_daten/Audio/024F_ahm_001.wav" TargetMode="External"/><Relationship Id="rId148" Type="http://schemas.openxmlformats.org/officeDocument/2006/relationships/hyperlink" Target="../../../../../../../../../TI_projekt_daten/Audio/015M_&#228;hm_008.wav" TargetMode="External"/><Relationship Id="rId355" Type="http://schemas.openxmlformats.org/officeDocument/2006/relationships/hyperlink" Target="../../../../../../../../../TI_projekt_daten/Audio/035F_&#228;hm_003.wav" TargetMode="External"/><Relationship Id="rId397" Type="http://schemas.openxmlformats.org/officeDocument/2006/relationships/hyperlink" Target="../../../../../../../../../TI_projekt_daten/Audio/028F_&#228;hm_010.wav" TargetMode="External"/><Relationship Id="rId520" Type="http://schemas.openxmlformats.org/officeDocument/2006/relationships/hyperlink" Target="../../../../../../../../../TI_projekt_daten/Audio/038F_ahm_010.wav" TargetMode="External"/><Relationship Id="rId562" Type="http://schemas.openxmlformats.org/officeDocument/2006/relationships/hyperlink" Target="../../../../../../../../../TI_projekt_daten/Audio/021F_&#228;h_010.wav" TargetMode="External"/><Relationship Id="rId618" Type="http://schemas.openxmlformats.org/officeDocument/2006/relationships/hyperlink" Target="../../../../../../../../../TI_projekt_daten/Audio/017M_&#228;h_025.wav" TargetMode="External"/><Relationship Id="rId825" Type="http://schemas.openxmlformats.org/officeDocument/2006/relationships/printerSettings" Target="../printerSettings/printerSettings1.bin"/><Relationship Id="rId215" Type="http://schemas.openxmlformats.org/officeDocument/2006/relationships/hyperlink" Target="../../../../../../../../../TI_projekt_daten/Audio/015M_&#228;h_014.wav" TargetMode="External"/><Relationship Id="rId257" Type="http://schemas.openxmlformats.org/officeDocument/2006/relationships/hyperlink" Target="../../../../../../../../../TI_projekt_daten/Audio/024F_&#228;hm_013.wav" TargetMode="External"/><Relationship Id="rId422" Type="http://schemas.openxmlformats.org/officeDocument/2006/relationships/hyperlink" Target="../../../../../../../../../TI_projekt_daten/Audio/031F_ahm_004.wav" TargetMode="External"/><Relationship Id="rId464" Type="http://schemas.openxmlformats.org/officeDocument/2006/relationships/hyperlink" Target="../../../../../../../../../TI_projekt_daten/Audio/019M_&#228;h_004.wav" TargetMode="External"/><Relationship Id="rId299" Type="http://schemas.openxmlformats.org/officeDocument/2006/relationships/hyperlink" Target="../../../../../../../../../TI_projekt_daten/Audio/010M_&#228;h_004.wav" TargetMode="External"/><Relationship Id="rId727" Type="http://schemas.openxmlformats.org/officeDocument/2006/relationships/hyperlink" Target="../../../../../../../../../TI_projekt_daten/Audio/015M_&#228;hm_037.wav" TargetMode="External"/><Relationship Id="rId63" Type="http://schemas.openxmlformats.org/officeDocument/2006/relationships/hyperlink" Target="../../../../../../../../../TI_projekt_daten/Audio/024F_&#228;hm_007.wav" TargetMode="External"/><Relationship Id="rId159" Type="http://schemas.openxmlformats.org/officeDocument/2006/relationships/hyperlink" Target="../../../../../../../../../TI_projekt_daten/Audio/012M_&#228;h_008.wav" TargetMode="External"/><Relationship Id="rId366" Type="http://schemas.openxmlformats.org/officeDocument/2006/relationships/hyperlink" Target="../../../../../../../../../TI_projekt_daten/Audio/008M_&#228;hm_001.wav" TargetMode="External"/><Relationship Id="rId573" Type="http://schemas.openxmlformats.org/officeDocument/2006/relationships/hyperlink" Target="../../../../../../../../../TI_projekt_daten/Audio/026F_&#228;h_006.wav" TargetMode="External"/><Relationship Id="rId780" Type="http://schemas.openxmlformats.org/officeDocument/2006/relationships/hyperlink" Target="../../../../../../../../../TI_projekt_daten/Audio/012M_ahm_016.wav" TargetMode="External"/><Relationship Id="rId226" Type="http://schemas.openxmlformats.org/officeDocument/2006/relationships/hyperlink" Target="..\..\..\..\..\..\..\..\..\TI_projekt_daten\Audio\005M_&#228;hm_002.wav" TargetMode="External"/><Relationship Id="rId433" Type="http://schemas.openxmlformats.org/officeDocument/2006/relationships/hyperlink" Target="../../../../../../../../../TI_projekt_daten/Audio/027F_ahm_004.wav" TargetMode="External"/><Relationship Id="rId640" Type="http://schemas.openxmlformats.org/officeDocument/2006/relationships/hyperlink" Target="..\..\..\..\..\..\..\..\..\TI_projekt_daten\Audio\017M_&#228;h_028.wav" TargetMode="External"/><Relationship Id="rId738" Type="http://schemas.openxmlformats.org/officeDocument/2006/relationships/hyperlink" Target="../../../../../../../../../TI_projekt_daten/Audio/030F_ahm_017.wav" TargetMode="External"/><Relationship Id="rId74" Type="http://schemas.openxmlformats.org/officeDocument/2006/relationships/hyperlink" Target="..\..\..\..\..\..\..\..\..\TI_projekt_daten\Audio\015M_&#228;h_001.wav" TargetMode="External"/><Relationship Id="rId377" Type="http://schemas.openxmlformats.org/officeDocument/2006/relationships/hyperlink" Target="../../../../../../../../../TI_projekt_daten/Audio/001M_&#228;h_008.wav" TargetMode="External"/><Relationship Id="rId500" Type="http://schemas.openxmlformats.org/officeDocument/2006/relationships/hyperlink" Target="../../../../../../../../../TI_projekt_daten/Audio/016M_&#228;hm_016.wav" TargetMode="External"/><Relationship Id="rId584" Type="http://schemas.openxmlformats.org/officeDocument/2006/relationships/hyperlink" Target="../../../../../../../../../TI_projekt_daten/Audio/037F_&#228;h_009.wav" TargetMode="External"/><Relationship Id="rId805" Type="http://schemas.openxmlformats.org/officeDocument/2006/relationships/hyperlink" Target="../../../../../../../../../TI_projekt_daten/Audio/028F_&#228;hm_004.wav" TargetMode="External"/><Relationship Id="rId5" Type="http://schemas.openxmlformats.org/officeDocument/2006/relationships/hyperlink" Target="../../../../../../../../../TI_projekt_daten/Audio/024F_&#228;hm_001.wav" TargetMode="External"/><Relationship Id="rId237" Type="http://schemas.openxmlformats.org/officeDocument/2006/relationships/hyperlink" Target="../../../../../../../../../TI_projekt_daten/Audio/026F_&#228;h_001.wav" TargetMode="External"/><Relationship Id="rId791" Type="http://schemas.openxmlformats.org/officeDocument/2006/relationships/hyperlink" Target="../../../../../../../../../TI_projekt_daten/Audio/008M_ahm_004.wav" TargetMode="External"/><Relationship Id="rId444" Type="http://schemas.openxmlformats.org/officeDocument/2006/relationships/hyperlink" Target="../../../../../../../../../TI_projekt_daten/Audio/015M_&#228;hm_018.wav" TargetMode="External"/><Relationship Id="rId651" Type="http://schemas.openxmlformats.org/officeDocument/2006/relationships/hyperlink" Target="../../../../../../../../../TI_projekt_daten/Audio/039F_&#228;h_010.wav" TargetMode="External"/><Relationship Id="rId749" Type="http://schemas.openxmlformats.org/officeDocument/2006/relationships/hyperlink" Target="../../../../../../../../../TI_projekt_daten/Audio/016M_ahm_034.wav" TargetMode="External"/><Relationship Id="rId290" Type="http://schemas.openxmlformats.org/officeDocument/2006/relationships/hyperlink" Target="../../../../../../../../../TI_projekt_daten/Audio/009M_&#228;h_008.wav" TargetMode="External"/><Relationship Id="rId304" Type="http://schemas.openxmlformats.org/officeDocument/2006/relationships/hyperlink" Target="../../../../../../../../../TI_projekt_daten/Audio/010M_&#228;h_009.wav" TargetMode="External"/><Relationship Id="rId388" Type="http://schemas.openxmlformats.org/officeDocument/2006/relationships/hyperlink" Target="../../../../../../../../../TI_projekt_daten/Audio/015M_&#228;hm_013.wav" TargetMode="External"/><Relationship Id="rId511" Type="http://schemas.openxmlformats.org/officeDocument/2006/relationships/hyperlink" Target="../../../../../../../../../TI_projekt_daten/Audio/015M_&#228;h_031.wav" TargetMode="External"/><Relationship Id="rId609" Type="http://schemas.openxmlformats.org/officeDocument/2006/relationships/hyperlink" Target="../../../../../../../../../TI_projekt_daten/Audio/037F_ahm_011.wav" TargetMode="External"/><Relationship Id="rId85" Type="http://schemas.openxmlformats.org/officeDocument/2006/relationships/hyperlink" Target="../../../../../../../../../TI_projekt_daten/Audio/010M_ahm_001.wav" TargetMode="External"/><Relationship Id="rId150" Type="http://schemas.openxmlformats.org/officeDocument/2006/relationships/hyperlink" Target="../../../../../../../../../TI_projekt_daten/Audio/018M_&#228;h_001.wav" TargetMode="External"/><Relationship Id="rId595" Type="http://schemas.openxmlformats.org/officeDocument/2006/relationships/hyperlink" Target="../../../../../../../../../TI_projekt_daten/Audio/004M_ahm_007.wav" TargetMode="External"/><Relationship Id="rId816" Type="http://schemas.openxmlformats.org/officeDocument/2006/relationships/hyperlink" Target="../../../../../../../../../TI_projekt_daten/Audio/003M_&#228;hm_002.wav" TargetMode="External"/><Relationship Id="rId248" Type="http://schemas.openxmlformats.org/officeDocument/2006/relationships/hyperlink" Target="..\..\..\..\..\..\..\..\..\TI_projekt_daten\Audio\033F_&#228;h_001.wav" TargetMode="External"/><Relationship Id="rId455" Type="http://schemas.openxmlformats.org/officeDocument/2006/relationships/hyperlink" Target="../../../../../../../../../TI_projekt_daten/Audio/005M_&#228;h_004.wav" TargetMode="External"/><Relationship Id="rId662" Type="http://schemas.openxmlformats.org/officeDocument/2006/relationships/hyperlink" Target="../../../../../../../../../TI_projekt_daten/Audio/017M_&#228;h_033.wav" TargetMode="External"/><Relationship Id="rId12" Type="http://schemas.openxmlformats.org/officeDocument/2006/relationships/hyperlink" Target="..\..\..\..\..\..\..\..\..\TI_projekt_daten\Audio\036F_&#228;h_005.wav" TargetMode="External"/><Relationship Id="rId108" Type="http://schemas.openxmlformats.org/officeDocument/2006/relationships/hyperlink" Target="..\..\..\..\..\..\..\..\..\TI_projekt_daten\Audio\017M_&#228;h_001.wav" TargetMode="External"/><Relationship Id="rId315" Type="http://schemas.openxmlformats.org/officeDocument/2006/relationships/hyperlink" Target="../../../../../../../../../TI_projekt_daten/Audio/014M_&#228;h_008.wav" TargetMode="External"/><Relationship Id="rId522" Type="http://schemas.openxmlformats.org/officeDocument/2006/relationships/hyperlink" Target="..\..\..\..\..\..\..\..\..\TI_projekt_daten\Audio\038F_ahm_011.wav" TargetMode="External"/><Relationship Id="rId96" Type="http://schemas.openxmlformats.org/officeDocument/2006/relationships/hyperlink" Target="../../../../../../../../../TI_projekt_daten/Audio/016M_&#228;hm_001.wav" TargetMode="External"/><Relationship Id="rId161" Type="http://schemas.openxmlformats.org/officeDocument/2006/relationships/hyperlink" Target="..\..\..\..\..\..\..\..\..\TI_projekt_daten\Audio\012M_&#228;h_009.wav" TargetMode="External"/><Relationship Id="rId399" Type="http://schemas.openxmlformats.org/officeDocument/2006/relationships/hyperlink" Target="../../../../../../../../../TI_projekt_daten/Audio/022F_&#228;h_006.wav" TargetMode="External"/><Relationship Id="rId259" Type="http://schemas.openxmlformats.org/officeDocument/2006/relationships/hyperlink" Target="..\..\..\..\..\..\..\..\..\TI_projekt_daten\Audio\024F_&#228;hm_015.wav" TargetMode="External"/><Relationship Id="rId466" Type="http://schemas.openxmlformats.org/officeDocument/2006/relationships/hyperlink" Target="../../../../../../../../../TI_projekt_daten/Audio/037F_&#228;hm_004.wav" TargetMode="External"/><Relationship Id="rId673" Type="http://schemas.openxmlformats.org/officeDocument/2006/relationships/hyperlink" Target="../../../../../../../../../TI_projekt_daten/Audio/005M_&#228;hm_011.wav" TargetMode="External"/><Relationship Id="rId23" Type="http://schemas.openxmlformats.org/officeDocument/2006/relationships/hyperlink" Target="..\..\..\..\..\..\..\..\..\TI_projekt_daten\Audio\015M_&#228;hm_006.wav" TargetMode="External"/><Relationship Id="rId119" Type="http://schemas.openxmlformats.org/officeDocument/2006/relationships/hyperlink" Target="../../../../../../../../../TI_projekt_daten/Audio/016M_&#228;h_004.wav" TargetMode="External"/><Relationship Id="rId326" Type="http://schemas.openxmlformats.org/officeDocument/2006/relationships/hyperlink" Target="..\..\..\..\..\..\..\..\..\TI_projekt_daten\Audio\014M_ahm_012.wav" TargetMode="External"/><Relationship Id="rId533" Type="http://schemas.openxmlformats.org/officeDocument/2006/relationships/hyperlink" Target="../../../../../../../../../TI_projekt_daten/Audio/015M_&#228;h_036.wav" TargetMode="External"/><Relationship Id="rId740" Type="http://schemas.openxmlformats.org/officeDocument/2006/relationships/hyperlink" Target="../../../../../../../../../TI_projekt_daten/Audio/016M_ahm_031.wav" TargetMode="External"/><Relationship Id="rId172" Type="http://schemas.openxmlformats.org/officeDocument/2006/relationships/hyperlink" Target="../../../../../../../../../TI_projekt_daten/Audio/017M_&#228;hm_001.wav" TargetMode="External"/><Relationship Id="rId477" Type="http://schemas.openxmlformats.org/officeDocument/2006/relationships/hyperlink" Target="../../../../../../../../../TI_projekt_daten/Audio/005M_&#228;h_006.wav" TargetMode="External"/><Relationship Id="rId600" Type="http://schemas.openxmlformats.org/officeDocument/2006/relationships/hyperlink" Target="../../../../../../../../../TI_projekt_daten/Audio/025F_ahm_001.wav" TargetMode="External"/><Relationship Id="rId684" Type="http://schemas.openxmlformats.org/officeDocument/2006/relationships/hyperlink" Target="../../../../../../../../../TI_projekt_daten/Audio/015M_&#228;h_055.wav" TargetMode="External"/><Relationship Id="rId337" Type="http://schemas.openxmlformats.org/officeDocument/2006/relationships/hyperlink" Target="../../../../../../../../../TI_projekt_daten/Audio/015M_&#228;h_026.wav" TargetMode="External"/><Relationship Id="rId34" Type="http://schemas.openxmlformats.org/officeDocument/2006/relationships/hyperlink" Target="..\..\..\..\..\..\..\..\..\TI_projekt_daten\Audio\003M_ahm_001.wav" TargetMode="External"/><Relationship Id="rId544" Type="http://schemas.openxmlformats.org/officeDocument/2006/relationships/hyperlink" Target="../../../../../../../../../TI_projekt_daten/Audio/011M_&#228;hm_007.wav" TargetMode="External"/><Relationship Id="rId751" Type="http://schemas.openxmlformats.org/officeDocument/2006/relationships/hyperlink" Target="../../../../../../../../../TI_projekt_daten/Audio/016M_ahm_035.wav" TargetMode="External"/><Relationship Id="rId183" Type="http://schemas.openxmlformats.org/officeDocument/2006/relationships/hyperlink" Target="../../../../../../../../../TI_projekt_daten/Audio/012M_&#228;h_013.wav" TargetMode="External"/><Relationship Id="rId390" Type="http://schemas.openxmlformats.org/officeDocument/2006/relationships/hyperlink" Target="../../../../../../../../../TI_projekt_daten/Audio/015M_&#228;hm_014.wav" TargetMode="External"/><Relationship Id="rId404" Type="http://schemas.openxmlformats.org/officeDocument/2006/relationships/hyperlink" Target="../../../../../../../../../TI_projekt_daten/Audio/016M_ahm_013.wav" TargetMode="External"/><Relationship Id="rId611" Type="http://schemas.openxmlformats.org/officeDocument/2006/relationships/hyperlink" Target="../../../../../../../../../TI_projekt_daten/Audio/035F_&#228;h_005.wav" TargetMode="External"/><Relationship Id="rId250" Type="http://schemas.openxmlformats.org/officeDocument/2006/relationships/hyperlink" Target="../../../../../../../../../TI_projekt_daten/Audio/035F_&#228;h_003.wav" TargetMode="External"/><Relationship Id="rId488" Type="http://schemas.openxmlformats.org/officeDocument/2006/relationships/hyperlink" Target="../../../../../../../../../TI_projekt_daten/Audio/039F_&#228;hm_003.wav" TargetMode="External"/><Relationship Id="rId695" Type="http://schemas.openxmlformats.org/officeDocument/2006/relationships/hyperlink" Target="../../../../../../../../../TI_projekt_daten/Audio/038F_&#228;h_004.wav" TargetMode="External"/><Relationship Id="rId709" Type="http://schemas.openxmlformats.org/officeDocument/2006/relationships/hyperlink" Target="../../../../../../../../../TI_projekt_daten/Audio/016M_&#228;hm_018.wav" TargetMode="External"/><Relationship Id="rId45" Type="http://schemas.openxmlformats.org/officeDocument/2006/relationships/hyperlink" Target="../../../../../../../../../TI_projekt_daten/Audio/002M_&#228;h_003.wav" TargetMode="External"/><Relationship Id="rId110" Type="http://schemas.openxmlformats.org/officeDocument/2006/relationships/hyperlink" Target="..\..\..\..\..\..\..\..\..\TI_projekt_daten\Audio\017M_&#228;h_002.wav" TargetMode="External"/><Relationship Id="rId348" Type="http://schemas.openxmlformats.org/officeDocument/2006/relationships/hyperlink" Target="../../../../../../../../../TI_projekt_daten/Audio/016M_&#228;hm_012.wav" TargetMode="External"/><Relationship Id="rId555" Type="http://schemas.openxmlformats.org/officeDocument/2006/relationships/hyperlink" Target="..\..\..\..\..\..\..\..\..\TI_projekt_daten\Audio\005M_&#228;h_010.wav" TargetMode="External"/><Relationship Id="rId762" Type="http://schemas.openxmlformats.org/officeDocument/2006/relationships/hyperlink" Target="../../../../../../../../../TI_projekt_daten/Audio/031F_ahm_006.wav" TargetMode="External"/><Relationship Id="rId194" Type="http://schemas.openxmlformats.org/officeDocument/2006/relationships/hyperlink" Target="..\..\..\..\..\..\..\..\..\TI_projekt_daten\Audio\015M_&#228;h_009.wav" TargetMode="External"/><Relationship Id="rId208" Type="http://schemas.openxmlformats.org/officeDocument/2006/relationships/hyperlink" Target="../../../../../../../../../TI_projekt_daten/Audio/028F_&#228;h_004.wav" TargetMode="External"/><Relationship Id="rId415" Type="http://schemas.openxmlformats.org/officeDocument/2006/relationships/hyperlink" Target="../../../../../../../../../TI_projekt_daten/Audio/026F_ahm_002.wav" TargetMode="External"/><Relationship Id="rId622" Type="http://schemas.openxmlformats.org/officeDocument/2006/relationships/hyperlink" Target="../../../../../../../../../TI_projekt_daten/Audio/027F_ahm_005.wav" TargetMode="External"/><Relationship Id="rId261" Type="http://schemas.openxmlformats.org/officeDocument/2006/relationships/hyperlink" Target="../../../../../../../../../TI_projekt_daten/Audio/024F_&#228;hm_017.wav" TargetMode="External"/><Relationship Id="rId499" Type="http://schemas.openxmlformats.org/officeDocument/2006/relationships/hyperlink" Target="../../../../../../../../../TI_projekt_daten/Audio/037F_&#228;hm_005.wav" TargetMode="External"/><Relationship Id="rId56" Type="http://schemas.openxmlformats.org/officeDocument/2006/relationships/hyperlink" Target="..\..\..\..\..\..\..\..\..\TI_projekt_daten\Audio\002M_&#228;h_008.wav" TargetMode="External"/><Relationship Id="rId359" Type="http://schemas.openxmlformats.org/officeDocument/2006/relationships/hyperlink" Target="../../../../../../../../../TI_projekt_daten/Audio/017M_&#228;h_011.wav" TargetMode="External"/><Relationship Id="rId566" Type="http://schemas.openxmlformats.org/officeDocument/2006/relationships/hyperlink" Target="../../../../../../../../../TI_projekt_daten/Audio/026F_&#228;hm_005.wav" TargetMode="External"/><Relationship Id="rId773" Type="http://schemas.openxmlformats.org/officeDocument/2006/relationships/hyperlink" Target="..\..\..\..\..\..\..\..\..\TI_projekt_daten\Audio\031F_&#228;hm_005.wav" TargetMode="External"/><Relationship Id="rId121" Type="http://schemas.openxmlformats.org/officeDocument/2006/relationships/hyperlink" Target="../../../../../../../../../TI_projekt_daten/Audio/035F_&#228;h_002.wav" TargetMode="External"/><Relationship Id="rId219" Type="http://schemas.openxmlformats.org/officeDocument/2006/relationships/hyperlink" Target="..\..\..\..\..\..\..\..\..\TI_projekt_daten\Audio\027F_&#228;hm_001.wav" TargetMode="External"/><Relationship Id="rId426" Type="http://schemas.openxmlformats.org/officeDocument/2006/relationships/hyperlink" Target="../../../../../../../../../TI_projekt_daten/Audio/025F_&#228;h_003.wav" TargetMode="External"/><Relationship Id="rId633" Type="http://schemas.openxmlformats.org/officeDocument/2006/relationships/hyperlink" Target="../../../../../../../../../TI_projekt_daten/Audio/015M_&#228;hm_028.wav" TargetMode="External"/><Relationship Id="rId67" Type="http://schemas.openxmlformats.org/officeDocument/2006/relationships/hyperlink" Target="../../../../../../../../../TI_projekt_daten/Audio/003M_&#228;h_024.wav" TargetMode="External"/><Relationship Id="rId272" Type="http://schemas.openxmlformats.org/officeDocument/2006/relationships/hyperlink" Target="../../../../../../../../../TI_projekt_daten/Audio/024F_ahm_014.wav" TargetMode="External"/><Relationship Id="rId577" Type="http://schemas.openxmlformats.org/officeDocument/2006/relationships/hyperlink" Target="../../../../../../../../../TI_projekt_daten/Audio/005M_&#228;h_012.wav" TargetMode="External"/><Relationship Id="rId700" Type="http://schemas.openxmlformats.org/officeDocument/2006/relationships/hyperlink" Target="../../../../../../../../../TI_projekt_daten/Audio/015M_&#228;h_058.wav" TargetMode="External"/><Relationship Id="rId132" Type="http://schemas.openxmlformats.org/officeDocument/2006/relationships/hyperlink" Target="../../../../../../../../../TI_projekt_daten/Audio/012M_&#228;hm_001.wav" TargetMode="External"/><Relationship Id="rId784" Type="http://schemas.openxmlformats.org/officeDocument/2006/relationships/hyperlink" Target="../../../../../../../../../TI_projekt_daten/Audio/005M_&#228;hm_014.wav" TargetMode="External"/><Relationship Id="rId437" Type="http://schemas.openxmlformats.org/officeDocument/2006/relationships/hyperlink" Target="../../../../../../../../../TI_projekt_daten/Audio/030F_&#228;h_006.wav" TargetMode="External"/><Relationship Id="rId644" Type="http://schemas.openxmlformats.org/officeDocument/2006/relationships/hyperlink" Target="../../../../../../../../../TI_projekt_daten/Audio/026F_&#228;h_010.wav" TargetMode="External"/><Relationship Id="rId283" Type="http://schemas.openxmlformats.org/officeDocument/2006/relationships/hyperlink" Target="..\..\..\..\..\..\..\..\..\TI_projekt_daten\Audio\007M_&#228;h_001.wav" TargetMode="External"/><Relationship Id="rId490" Type="http://schemas.openxmlformats.org/officeDocument/2006/relationships/hyperlink" Target="../../../../../../../../../TI_projekt_daten/Audio/026F_ahm_005.wav" TargetMode="External"/><Relationship Id="rId504" Type="http://schemas.openxmlformats.org/officeDocument/2006/relationships/hyperlink" Target="../../../../../../../../../TI_projekt_daten/Audio/015M_&#228;hm_019.wav" TargetMode="External"/><Relationship Id="rId711" Type="http://schemas.openxmlformats.org/officeDocument/2006/relationships/hyperlink" Target="../../../../../../../../../TI_projekt_daten/Audio/016M_ahm_029.wav" TargetMode="External"/><Relationship Id="rId78" Type="http://schemas.openxmlformats.org/officeDocument/2006/relationships/hyperlink" Target="..\..\..\..\..\..\..\..\..\TI_projekt_daten\Audio\036F_&#228;hm_001.wav" TargetMode="External"/><Relationship Id="rId143" Type="http://schemas.openxmlformats.org/officeDocument/2006/relationships/hyperlink" Target="../../../../../../../../../TI_projekt_daten/Audio/037F_ahm_001.wav" TargetMode="External"/><Relationship Id="rId350" Type="http://schemas.openxmlformats.org/officeDocument/2006/relationships/hyperlink" Target="../../../../../../../../../TI_projekt_daten/Audio/025F_&#228;hm_002.wav" TargetMode="External"/><Relationship Id="rId588" Type="http://schemas.openxmlformats.org/officeDocument/2006/relationships/hyperlink" Target="../../../../../../../../../TI_projekt_daten/Audio/015M_&#228;hm_026.wav" TargetMode="External"/><Relationship Id="rId795" Type="http://schemas.openxmlformats.org/officeDocument/2006/relationships/hyperlink" Target="../../../../../../../../../TI_projekt_daten/Audio/038F_&#228;h_005.wav" TargetMode="External"/><Relationship Id="rId809" Type="http://schemas.openxmlformats.org/officeDocument/2006/relationships/hyperlink" Target="../../../../../../../../../TI_projekt_daten/Audio/016M_ahm_005.wav" TargetMode="External"/><Relationship Id="rId9" Type="http://schemas.openxmlformats.org/officeDocument/2006/relationships/hyperlink" Target="..\..\..\..\..\..\..\..\..\TI_projekt_daten\Audio\038F_ahm_001.wav" TargetMode="External"/><Relationship Id="rId210" Type="http://schemas.openxmlformats.org/officeDocument/2006/relationships/hyperlink" Target="..\..\..\..\..\..\..\..\..\TI_projekt_daten\Audio\015M_&#228;h_013.wav" TargetMode="External"/><Relationship Id="rId448" Type="http://schemas.openxmlformats.org/officeDocument/2006/relationships/hyperlink" Target="../../../../../../../../../TI_projekt_daten/Audio/017M_&#228;h_015.wav" TargetMode="External"/><Relationship Id="rId655" Type="http://schemas.openxmlformats.org/officeDocument/2006/relationships/hyperlink" Target="../../../../../../../../../TI_projekt_daten/Audio/005M_&#228;h_018.wav" TargetMode="External"/><Relationship Id="rId294" Type="http://schemas.openxmlformats.org/officeDocument/2006/relationships/hyperlink" Target="..\..\..\..\..\..\..\..\..\TI_projekt_daten\Audio\009M_&#228;hm_002.wav" TargetMode="External"/><Relationship Id="rId308" Type="http://schemas.openxmlformats.org/officeDocument/2006/relationships/hyperlink" Target="../../../../../../../../../TI_projekt_daten/Audio/013M_ahm_001.wav" TargetMode="External"/><Relationship Id="rId515" Type="http://schemas.openxmlformats.org/officeDocument/2006/relationships/hyperlink" Target="../../../../../../../../../TI_projekt_daten/Audio/015M_&#228;h_033.wav" TargetMode="External"/><Relationship Id="rId722" Type="http://schemas.openxmlformats.org/officeDocument/2006/relationships/hyperlink" Target="../../../../../../../../../TI_projekt_daten/Audio/015M_&#228;h_061.wav" TargetMode="External"/><Relationship Id="rId89" Type="http://schemas.openxmlformats.org/officeDocument/2006/relationships/hyperlink" Target="../../../../../../../../../TI_projekt_daten/Audio/036F_&#228;h_004.wav" TargetMode="External"/><Relationship Id="rId154" Type="http://schemas.openxmlformats.org/officeDocument/2006/relationships/hyperlink" Target="../../../../../../../../../TI_projekt_daten/Audio/015M_&#228;hm_010.wav" TargetMode="External"/><Relationship Id="rId361" Type="http://schemas.openxmlformats.org/officeDocument/2006/relationships/hyperlink" Target="../../../../../../../../../TI_projekt_daten/Audio/017M_&#228;h_012.wav" TargetMode="External"/><Relationship Id="rId599" Type="http://schemas.openxmlformats.org/officeDocument/2006/relationships/hyperlink" Target="../../../../../../../../../TI_projekt_daten/Audio/037F_ahm_008.wav" TargetMode="External"/><Relationship Id="rId459" Type="http://schemas.openxmlformats.org/officeDocument/2006/relationships/hyperlink" Target="../../../../../../../../../TI_projekt_daten/Audio/030F_ahm_009.wav" TargetMode="External"/><Relationship Id="rId666" Type="http://schemas.openxmlformats.org/officeDocument/2006/relationships/hyperlink" Target="../../../../../../../../../TI_projekt_daten/Audio/005M_&#228;hm_010.wav" TargetMode="External"/><Relationship Id="rId16" Type="http://schemas.openxmlformats.org/officeDocument/2006/relationships/hyperlink" Target="..\..\..\..\..\..\..\..\..\TI_projekt_daten\Audio\038F_&#228;hm_002.wav" TargetMode="External"/><Relationship Id="rId221" Type="http://schemas.openxmlformats.org/officeDocument/2006/relationships/hyperlink" Target="..\..\..\..\..\..\..\..\..\TI_projekt_daten\Audio\031F_&#228;h_001.wav" TargetMode="External"/><Relationship Id="rId319" Type="http://schemas.openxmlformats.org/officeDocument/2006/relationships/hyperlink" Target="../../../../../../../../../TI_projekt_daten/Audio/014M_&#228;hm_001.wav" TargetMode="External"/><Relationship Id="rId526" Type="http://schemas.openxmlformats.org/officeDocument/2006/relationships/hyperlink" Target="../../../../../../../../../TI_projekt_daten/Audio/015M_&#228;h_034.wav" TargetMode="External"/><Relationship Id="rId733" Type="http://schemas.openxmlformats.org/officeDocument/2006/relationships/hyperlink" Target="../../../../../../../../../TI_projekt_daten/Audio/012M_&#228;h_027.wav" TargetMode="External"/><Relationship Id="rId165" Type="http://schemas.openxmlformats.org/officeDocument/2006/relationships/hyperlink" Target="../../../../../../../../../TI_projekt_daten/Audio/012M_ahm_004.wav" TargetMode="External"/><Relationship Id="rId372" Type="http://schemas.openxmlformats.org/officeDocument/2006/relationships/hyperlink" Target="..\..\..\..\..\..\..\..\..\TI_projekt_daten\Audio\028F_&#228;hm_008.wav" TargetMode="External"/><Relationship Id="rId677" Type="http://schemas.openxmlformats.org/officeDocument/2006/relationships/hyperlink" Target="../../../../../../../../../TI_projekt_daten/Audio/015M_&#228;hm_034.wav" TargetMode="External"/><Relationship Id="rId800" Type="http://schemas.openxmlformats.org/officeDocument/2006/relationships/hyperlink" Target="../../../../../../../../../TI_projekt_daten/Audio/031F_&#228;h_003.wav" TargetMode="External"/><Relationship Id="rId232" Type="http://schemas.openxmlformats.org/officeDocument/2006/relationships/hyperlink" Target="..\..\..\..\..\..\..\..\..\TI_projekt_daten\Audio\006M_&#228;hm_001.wav" TargetMode="External"/><Relationship Id="rId27" Type="http://schemas.openxmlformats.org/officeDocument/2006/relationships/hyperlink" Target="..\..\..\..\..\..\..\..\..\TI_projekt_daten\Audio\028F_&#228;hm_002.wav" TargetMode="External"/><Relationship Id="rId537" Type="http://schemas.openxmlformats.org/officeDocument/2006/relationships/hyperlink" Target="../../../../../../../../../TI_projekt_daten/Audio/015M_ahm_004.wav" TargetMode="External"/><Relationship Id="rId744" Type="http://schemas.openxmlformats.org/officeDocument/2006/relationships/hyperlink" Target="../../../../../../../../../TI_projekt_daten/Audio/016M_ahm_033.wav" TargetMode="External"/><Relationship Id="rId80" Type="http://schemas.openxmlformats.org/officeDocument/2006/relationships/hyperlink" Target="..\..\..\..\..\..\..\..\..\TI_projekt_daten\Audio\006M_&#228;h_001.wav" TargetMode="External"/><Relationship Id="rId176" Type="http://schemas.openxmlformats.org/officeDocument/2006/relationships/hyperlink" Target="..\..\..\..\..\..\..\..\..\TI_projekt_daten\Audio\021F_&#228;h_002.wav" TargetMode="External"/><Relationship Id="rId383" Type="http://schemas.openxmlformats.org/officeDocument/2006/relationships/hyperlink" Target="../../../../../../../../../TI_projekt_daten/Audio/015M_&#228;h_007.wav" TargetMode="External"/><Relationship Id="rId590" Type="http://schemas.openxmlformats.org/officeDocument/2006/relationships/hyperlink" Target="../../../../../../../../../TI_projekt_daten/Audio/016M_&#228;h_002.wav" TargetMode="External"/><Relationship Id="rId604" Type="http://schemas.openxmlformats.org/officeDocument/2006/relationships/hyperlink" Target="../../../../../../../../../TI_projekt_daten/Audio/021F_&#228;h_011.wav" TargetMode="External"/><Relationship Id="rId811" Type="http://schemas.openxmlformats.org/officeDocument/2006/relationships/hyperlink" Target="../../../../../../../../../TI_projekt_daten/Audio/023F_ahm_001.wav" TargetMode="External"/><Relationship Id="rId243" Type="http://schemas.openxmlformats.org/officeDocument/2006/relationships/hyperlink" Target="../../../../../../../../../TI_projekt_daten/Audio/009M_ahm_001.wav" TargetMode="External"/><Relationship Id="rId450" Type="http://schemas.openxmlformats.org/officeDocument/2006/relationships/hyperlink" Target="../../../../../../../../../TI_projekt_daten/Audio/039F_&#228;h_007.wav" TargetMode="External"/><Relationship Id="rId688" Type="http://schemas.openxmlformats.org/officeDocument/2006/relationships/hyperlink" Target="../../../../../../../../../TI_projekt_daten/Audio/012M_&#228;h_024.wav" TargetMode="External"/><Relationship Id="rId38" Type="http://schemas.openxmlformats.org/officeDocument/2006/relationships/hyperlink" Target="..\..\..\..\..\..\..\..\..\TI_projekt_daten\Audio\002M_&#228;h_002.wav" TargetMode="External"/><Relationship Id="rId103" Type="http://schemas.openxmlformats.org/officeDocument/2006/relationships/hyperlink" Target="..\..\..\..\..\..\..\..\..\TI_projekt_daten\Audio\038F_ahm_004.wav" TargetMode="External"/><Relationship Id="rId310" Type="http://schemas.openxmlformats.org/officeDocument/2006/relationships/hyperlink" Target="../../../../../../../../../TI_projekt_daten/Audio/013M_ahm_003.wav" TargetMode="External"/><Relationship Id="rId548" Type="http://schemas.openxmlformats.org/officeDocument/2006/relationships/hyperlink" Target="../../../../../../../../../TI_projekt_daten/Audio/015M_&#228;h_038.wav" TargetMode="External"/><Relationship Id="rId755" Type="http://schemas.openxmlformats.org/officeDocument/2006/relationships/hyperlink" Target="../../../../../../../../../TI_projekt_daten/Audio/039F_&#228;h_013.wav" TargetMode="External"/><Relationship Id="rId91" Type="http://schemas.openxmlformats.org/officeDocument/2006/relationships/hyperlink" Target="..\..\..\..\..\..\..\..\..\TI_projekt_daten\Audio\012M_&#228;h_002.wav" TargetMode="External"/><Relationship Id="rId187" Type="http://schemas.openxmlformats.org/officeDocument/2006/relationships/hyperlink" Target="..\..\..\..\..\..\..\..\..\TI_projekt_daten\Audio\028F_&#228;h_002.wav" TargetMode="External"/><Relationship Id="rId394" Type="http://schemas.openxmlformats.org/officeDocument/2006/relationships/hyperlink" Target="../../../../../../../../../TI_projekt_daten/Audio/016M_ahm_011.wav" TargetMode="External"/><Relationship Id="rId408" Type="http://schemas.openxmlformats.org/officeDocument/2006/relationships/hyperlink" Target="../../../../../../../../../TI_projekt_daten/Audio/015M_&#228;hm_016.wav" TargetMode="External"/><Relationship Id="rId615" Type="http://schemas.openxmlformats.org/officeDocument/2006/relationships/hyperlink" Target="..\..\..\..\..\..\..\..\..\TI_projekt_daten\Audio\022F_ahm_003.wav" TargetMode="External"/><Relationship Id="rId822" Type="http://schemas.openxmlformats.org/officeDocument/2006/relationships/hyperlink" Target="../../../../../../../../../TI_projekt_daten/Audio/004M_ahm_009.wav" TargetMode="External"/><Relationship Id="rId254" Type="http://schemas.openxmlformats.org/officeDocument/2006/relationships/hyperlink" Target="..\..\..\..\..\..\..\..\..\TI_projekt_daten\Audio\014M_ahm_005.wav" TargetMode="External"/><Relationship Id="rId699" Type="http://schemas.openxmlformats.org/officeDocument/2006/relationships/hyperlink" Target="../../../../../../../../../TI_projekt_daten/Audio/012M_&#228;h_026.wav" TargetMode="External"/><Relationship Id="rId49" Type="http://schemas.openxmlformats.org/officeDocument/2006/relationships/hyperlink" Target="..\..\..\..\..\..\..\..\..\TI_projekt_daten\Audio\002M_&#228;h_005.wav" TargetMode="External"/><Relationship Id="rId114" Type="http://schemas.openxmlformats.org/officeDocument/2006/relationships/hyperlink" Target="..\..\..\..\..\..\..\..\..\TI_projekt_daten\Audio\038F_ahm_006.wav" TargetMode="External"/><Relationship Id="rId461" Type="http://schemas.openxmlformats.org/officeDocument/2006/relationships/hyperlink" Target="../../../../../../../../../TI_projekt_daten/Audio/030F_ahm_010.wav" TargetMode="External"/><Relationship Id="rId559" Type="http://schemas.openxmlformats.org/officeDocument/2006/relationships/hyperlink" Target="..\..\..\..\..\..\..\..\..\TI_projekt_daten\Audio\012M_&#228;h_020.wav" TargetMode="External"/><Relationship Id="rId766" Type="http://schemas.openxmlformats.org/officeDocument/2006/relationships/hyperlink" Target="../../../../../../../../../TI_projekt_daten/Audio/016M_ahm_041.wav" TargetMode="External"/><Relationship Id="rId198" Type="http://schemas.openxmlformats.org/officeDocument/2006/relationships/hyperlink" Target="../../../../../../../../../TI_projekt_daten/Audio/015M_&#228;h_010.wav" TargetMode="External"/><Relationship Id="rId321" Type="http://schemas.openxmlformats.org/officeDocument/2006/relationships/hyperlink" Target="../../../../../../../../../TI_projekt_daten/Audio/014M_ahm_007.wav" TargetMode="External"/><Relationship Id="rId419" Type="http://schemas.openxmlformats.org/officeDocument/2006/relationships/hyperlink" Target="../../../../../../../../../TI_projekt_daten/Audio/031F_ahm_003.wav" TargetMode="External"/><Relationship Id="rId626" Type="http://schemas.openxmlformats.org/officeDocument/2006/relationships/hyperlink" Target="../../../../../../../../../TI_projekt_daten/Audio/017M_&#228;h_027.wav" TargetMode="External"/><Relationship Id="rId265" Type="http://schemas.openxmlformats.org/officeDocument/2006/relationships/hyperlink" Target="../../../../../../../../../TI_projekt_daten/Audio/024F_ahm_007.wav" TargetMode="External"/><Relationship Id="rId472" Type="http://schemas.openxmlformats.org/officeDocument/2006/relationships/hyperlink" Target="../../../../../../../../../TI_projekt_daten/Audio/011M_&#228;hm_004.wav" TargetMode="External"/><Relationship Id="rId125" Type="http://schemas.openxmlformats.org/officeDocument/2006/relationships/hyperlink" Target="..\..\..\..\..\..\..\..\..\TI_projekt_daten\Audio\039F_&#228;h_002.wav" TargetMode="External"/><Relationship Id="rId332" Type="http://schemas.openxmlformats.org/officeDocument/2006/relationships/hyperlink" Target="../../../../../../../../../TI_projekt_daten/Audio/015M_&#228;h_021.wav" TargetMode="External"/><Relationship Id="rId777" Type="http://schemas.openxmlformats.org/officeDocument/2006/relationships/hyperlink" Target="../../../../../../../../../TI_projekt_daten/Audio/026F_ahm_010.wav" TargetMode="External"/><Relationship Id="rId637" Type="http://schemas.openxmlformats.org/officeDocument/2006/relationships/hyperlink" Target="../../../../../../../../../TI_projekt_daten/Audio/015M_&#228;h_051.wav" TargetMode="External"/><Relationship Id="rId276" Type="http://schemas.openxmlformats.org/officeDocument/2006/relationships/hyperlink" Target="../../../../../../../../../TI_projekt_daten/Audio/006M_&#228;h_006.wav" TargetMode="External"/><Relationship Id="rId483" Type="http://schemas.openxmlformats.org/officeDocument/2006/relationships/hyperlink" Target="../../../../../../../../../TI_projekt_daten/Audio/018M_&#228;h_002.wav" TargetMode="External"/><Relationship Id="rId690" Type="http://schemas.openxmlformats.org/officeDocument/2006/relationships/hyperlink" Target="../../../../../../../../../TI_projekt_daten/Audio/036F_&#228;h_018.wav" TargetMode="External"/><Relationship Id="rId704" Type="http://schemas.openxmlformats.org/officeDocument/2006/relationships/hyperlink" Target="../../../../../../../../../TI_projekt_daten/Audio/015M_&#228;h_059.wav" TargetMode="External"/><Relationship Id="rId40" Type="http://schemas.openxmlformats.org/officeDocument/2006/relationships/hyperlink" Target="..\..\..\..\..\..\..\..\..\TI_projekt_daten\Audio\001M_&#228;h_003.wav" TargetMode="External"/><Relationship Id="rId136" Type="http://schemas.openxmlformats.org/officeDocument/2006/relationships/hyperlink" Target="../../../../../../../../../TI_projekt_daten/Audio/001M_&#228;h_002.wav" TargetMode="External"/><Relationship Id="rId343" Type="http://schemas.openxmlformats.org/officeDocument/2006/relationships/hyperlink" Target="..\..\..\..\..\..\..\..\..\TI_projekt_daten\Audio\039F_&#228;h_004.wav" TargetMode="External"/><Relationship Id="rId550" Type="http://schemas.openxmlformats.org/officeDocument/2006/relationships/hyperlink" Target="../../../../../../../../../TI_projekt_daten/Audio/030F_ahm_013.wav" TargetMode="External"/><Relationship Id="rId788" Type="http://schemas.openxmlformats.org/officeDocument/2006/relationships/hyperlink" Target="../../../../../../../../../TI_projekt_daten/Audio/027F_ahm_010.wav" TargetMode="External"/><Relationship Id="rId203" Type="http://schemas.openxmlformats.org/officeDocument/2006/relationships/hyperlink" Target="../../../../../../../../../TI_projekt_daten/Audio/030F_ahm_003.wav" TargetMode="External"/><Relationship Id="rId648" Type="http://schemas.openxmlformats.org/officeDocument/2006/relationships/hyperlink" Target="..\..\..\..\..\..\..\..\..\TI_projekt_daten\Audio\027F_&#228;hm_002.wav" TargetMode="External"/><Relationship Id="rId287" Type="http://schemas.openxmlformats.org/officeDocument/2006/relationships/hyperlink" Target="../../../../../../../../../TI_projekt_daten/Audio/009M_&#228;h_005.wav" TargetMode="External"/><Relationship Id="rId410" Type="http://schemas.openxmlformats.org/officeDocument/2006/relationships/hyperlink" Target="../../../../../../../../../TI_projekt_daten/Audio/012M_&#228;h_018.wav" TargetMode="External"/><Relationship Id="rId494" Type="http://schemas.openxmlformats.org/officeDocument/2006/relationships/hyperlink" Target="..\..\..\..\..\..\..\..\..\TI_projekt_daten\Audio\001M_&#228;h_009.wav" TargetMode="External"/><Relationship Id="rId508" Type="http://schemas.openxmlformats.org/officeDocument/2006/relationships/hyperlink" Target="../../../../../../../../../TI_projekt_daten/Audio/015M_&#228;hm_020.wav" TargetMode="External"/><Relationship Id="rId715" Type="http://schemas.openxmlformats.org/officeDocument/2006/relationships/hyperlink" Target="../../../../../../../../../TI_projekt_daten/Audio/015M_ahm_014.wav" TargetMode="External"/><Relationship Id="rId147" Type="http://schemas.openxmlformats.org/officeDocument/2006/relationships/hyperlink" Target="../../../../../../../../../TI_projekt_daten/Audio/008M_&#228;h_002.wav" TargetMode="External"/><Relationship Id="rId354" Type="http://schemas.openxmlformats.org/officeDocument/2006/relationships/hyperlink" Target="../../../../../../../../../TI_projekt_daten/Audio/012M_ahm_009.wav" TargetMode="External"/><Relationship Id="rId799" Type="http://schemas.openxmlformats.org/officeDocument/2006/relationships/hyperlink" Target="../../../../../../../../../TI_projekt_daten/Audio/039F_&#228;hm_007.wav" TargetMode="External"/><Relationship Id="rId51" Type="http://schemas.openxmlformats.org/officeDocument/2006/relationships/hyperlink" Target="..\..\..\..\..\..\..\..\..\TI_projekt_daten\Audio\023F_ahm_002.wav" TargetMode="External"/><Relationship Id="rId561" Type="http://schemas.openxmlformats.org/officeDocument/2006/relationships/hyperlink" Target="../../../../../../../../../TI_projekt_daten/Audio/039F_&#228;h_008.wav" TargetMode="External"/><Relationship Id="rId659" Type="http://schemas.openxmlformats.org/officeDocument/2006/relationships/hyperlink" Target="../../../../../../../../../TI_projekt_daten/Audio/036F_&#228;h_017.wav" TargetMode="External"/><Relationship Id="rId214" Type="http://schemas.openxmlformats.org/officeDocument/2006/relationships/hyperlink" Target="..\..\..\..\..\..\..\..\..\TI_projekt_daten\Audio\003M_&#228;h_008.wav" TargetMode="External"/><Relationship Id="rId298" Type="http://schemas.openxmlformats.org/officeDocument/2006/relationships/hyperlink" Target="..\..\..\..\..\..\..\..\..\TI_projekt_daten\Audio\010M_&#228;h_003.wav" TargetMode="External"/><Relationship Id="rId421" Type="http://schemas.openxmlformats.org/officeDocument/2006/relationships/hyperlink" Target="../../../../../../../../../TI_projekt_daten/Audio/012M_ahm_011.wav" TargetMode="External"/><Relationship Id="rId519" Type="http://schemas.openxmlformats.org/officeDocument/2006/relationships/hyperlink" Target="../../../../../../../../../TI_projekt_daten/Audio/038F_ahm_009.wav" TargetMode="External"/><Relationship Id="rId158" Type="http://schemas.openxmlformats.org/officeDocument/2006/relationships/hyperlink" Target="..\..\..\..\..\..\..\..\..\TI_projekt_daten\Audio\021F_&#228;h_001.wav" TargetMode="External"/><Relationship Id="rId726" Type="http://schemas.openxmlformats.org/officeDocument/2006/relationships/hyperlink" Target="../../../../../../../../../TI_projekt_daten/Audio/027F_ahm_006.wav" TargetMode="External"/><Relationship Id="rId62" Type="http://schemas.openxmlformats.org/officeDocument/2006/relationships/hyperlink" Target="..\..\..\..\..\..\..\..\..\TI_projekt_daten\Audio\002M_&#228;h_010.wav" TargetMode="External"/><Relationship Id="rId365" Type="http://schemas.openxmlformats.org/officeDocument/2006/relationships/hyperlink" Target="../../../../../../../../../TI_projekt_daten/Audio/016M_ahm_010.wav" TargetMode="External"/><Relationship Id="rId572" Type="http://schemas.openxmlformats.org/officeDocument/2006/relationships/hyperlink" Target="../../../../../../../../../TI_projekt_daten/Audio/017M_&#228;h_022.wav" TargetMode="External"/><Relationship Id="rId225" Type="http://schemas.openxmlformats.org/officeDocument/2006/relationships/hyperlink" Target="..\..\..\..\..\..\..\..\..\TI_projekt_daten\Audio\014M_&#228;h_005.wav" TargetMode="External"/><Relationship Id="rId432" Type="http://schemas.openxmlformats.org/officeDocument/2006/relationships/hyperlink" Target="..\..\..\..\..\..\..\..\..\TI_projekt_daten\Audio\031F_&#228;hm_001.wav" TargetMode="External"/><Relationship Id="rId737" Type="http://schemas.openxmlformats.org/officeDocument/2006/relationships/hyperlink" Target="../../../../../../../../../TI_projekt_daten/Audio/015M_&#228;h_065.wav" TargetMode="External"/><Relationship Id="rId73" Type="http://schemas.openxmlformats.org/officeDocument/2006/relationships/hyperlink" Target="..\..\..\..\..\..\..\..\..\TI_projekt_daten\Audio\001M_ahm_008.wav" TargetMode="External"/><Relationship Id="rId169" Type="http://schemas.openxmlformats.org/officeDocument/2006/relationships/hyperlink" Target="../../../../../../../../../TI_projekt_daten/Audio/037F_ahm_002.wav" TargetMode="External"/><Relationship Id="rId376" Type="http://schemas.openxmlformats.org/officeDocument/2006/relationships/hyperlink" Target="../../../../../../../../../TI_projekt_daten/Audio/003M_&#228;h_025.wav" TargetMode="External"/><Relationship Id="rId583" Type="http://schemas.openxmlformats.org/officeDocument/2006/relationships/hyperlink" Target="../../../../../../../../../TI_projekt_daten/Audio/012M_ahm_014.wav" TargetMode="External"/><Relationship Id="rId790" Type="http://schemas.openxmlformats.org/officeDocument/2006/relationships/hyperlink" Target="../../../../../../../../../TI_projekt_daten/Audio/012M_&#228;h_031.wav" TargetMode="External"/><Relationship Id="rId804" Type="http://schemas.openxmlformats.org/officeDocument/2006/relationships/hyperlink" Target="../../../../../../../../../TI_projekt_daten/Audio/016M_ahm_004.wav" TargetMode="External"/><Relationship Id="rId4" Type="http://schemas.openxmlformats.org/officeDocument/2006/relationships/hyperlink" Target="..\..\..\..\..\..\..\..\..\TI_projekt_daten\Audio\003M_&#228;h_002.wav" TargetMode="External"/><Relationship Id="rId236" Type="http://schemas.openxmlformats.org/officeDocument/2006/relationships/hyperlink" Target="..\..\..\..\..\..\..\..\..\TI_projekt_daten\Audio\001M_ahm_002.wav" TargetMode="External"/><Relationship Id="rId443" Type="http://schemas.openxmlformats.org/officeDocument/2006/relationships/hyperlink" Target="../../../../../../../../../TI_projekt_daten/Audio/032F_&#228;h_003.wav" TargetMode="External"/><Relationship Id="rId650" Type="http://schemas.openxmlformats.org/officeDocument/2006/relationships/hyperlink" Target="..\..\..\..\..\..\..\..\..\TI_projekt_daten\Audio\005M_&#228;h_016.wav" TargetMode="External"/><Relationship Id="rId303" Type="http://schemas.openxmlformats.org/officeDocument/2006/relationships/hyperlink" Target="../../../../../../../../../TI_projekt_daten/Audio/010M_&#228;h_008.wav" TargetMode="External"/><Relationship Id="rId748" Type="http://schemas.openxmlformats.org/officeDocument/2006/relationships/hyperlink" Target="../../../../../../../../../TI_projekt_daten/Audio/021F_&#228;h_013.wav" TargetMode="External"/><Relationship Id="rId84" Type="http://schemas.openxmlformats.org/officeDocument/2006/relationships/hyperlink" Target="..\..\..\..\..\..\..\..\..\TI_projekt_daten\Audio\015M_&#228;h_002.wav" TargetMode="External"/><Relationship Id="rId387" Type="http://schemas.openxmlformats.org/officeDocument/2006/relationships/hyperlink" Target="../../../../../../../../../TI_projekt_daten/Audio/028F_&#228;hm_009.wav" TargetMode="External"/><Relationship Id="rId510" Type="http://schemas.openxmlformats.org/officeDocument/2006/relationships/hyperlink" Target="../../../../../../../../../TI_projekt_daten/Audio/038F_&#228;hm_007.wav" TargetMode="External"/><Relationship Id="rId594" Type="http://schemas.openxmlformats.org/officeDocument/2006/relationships/hyperlink" Target="../../../../../../../../../TI_projekt_daten/Audio/004M_ahm_006.wav" TargetMode="External"/><Relationship Id="rId608" Type="http://schemas.openxmlformats.org/officeDocument/2006/relationships/hyperlink" Target="../../../../../../../../../TI_projekt_daten/Audio/015M_&#228;h_049.wav" TargetMode="External"/><Relationship Id="rId815" Type="http://schemas.openxmlformats.org/officeDocument/2006/relationships/hyperlink" Target="../../../../../../../../../TI_projekt_daten/Audio/023F_&#228;h_008.wav" TargetMode="External"/><Relationship Id="rId247" Type="http://schemas.openxmlformats.org/officeDocument/2006/relationships/hyperlink" Target="../../../../../../../../../TI_projekt_daten/Audio/035F_&#228;hm_002.wav" TargetMode="External"/><Relationship Id="rId107" Type="http://schemas.openxmlformats.org/officeDocument/2006/relationships/hyperlink" Target="..\..\..\..\..\..\..\..\..\TI_projekt_daten\Audio\036F_&#228;h_007.wav" TargetMode="External"/><Relationship Id="rId454" Type="http://schemas.openxmlformats.org/officeDocument/2006/relationships/hyperlink" Target="../../../../../../../../../TI_projekt_daten/Audio/031F_&#228;hm_003.wav" TargetMode="External"/><Relationship Id="rId661" Type="http://schemas.openxmlformats.org/officeDocument/2006/relationships/hyperlink" Target="..\..\..\..\..\..\..\..\..\TI_projekt_daten\Audio\015M_&#228;hm_029.wav" TargetMode="External"/><Relationship Id="rId759" Type="http://schemas.openxmlformats.org/officeDocument/2006/relationships/hyperlink" Target="../../../../../../../../../TI_projekt_daten/Audio/016M_ahm_039.wav" TargetMode="External"/><Relationship Id="rId11" Type="http://schemas.openxmlformats.org/officeDocument/2006/relationships/hyperlink" Target="..\..\..\..\..\..\..\..\..\TI_projekt_daten\Audio\024F_&#228;h_001.wav" TargetMode="External"/><Relationship Id="rId314" Type="http://schemas.openxmlformats.org/officeDocument/2006/relationships/hyperlink" Target="../../../../../../../../../TI_projekt_daten/Audio/014M_&#228;h_007.wav" TargetMode="External"/><Relationship Id="rId398" Type="http://schemas.openxmlformats.org/officeDocument/2006/relationships/hyperlink" Target="..\..\..\..\..\..\..\..\..\TI_projekt_daten\Audio\022F_&#228;h_005.wav" TargetMode="External"/><Relationship Id="rId521" Type="http://schemas.openxmlformats.org/officeDocument/2006/relationships/hyperlink" Target="../../../../../../../../../TI_projekt_daten/Audio/015M_&#228;hm_022.wav" TargetMode="External"/><Relationship Id="rId619" Type="http://schemas.openxmlformats.org/officeDocument/2006/relationships/hyperlink" Target="../../../../../../../../../TI_projekt_daten/Audio/030F_ahm_014.wav" TargetMode="External"/><Relationship Id="rId95" Type="http://schemas.openxmlformats.org/officeDocument/2006/relationships/hyperlink" Target="../../../../../../../../../TI_projekt_daten/Audio/026F_&#228;hm_002.wav" TargetMode="External"/><Relationship Id="rId160" Type="http://schemas.openxmlformats.org/officeDocument/2006/relationships/hyperlink" Target="../../../../../../../../../TI_projekt_daten/Audio/039F_ahm_002.wav" TargetMode="External"/><Relationship Id="rId826" Type="http://schemas.openxmlformats.org/officeDocument/2006/relationships/table" Target="../tables/table1.xml"/><Relationship Id="rId258" Type="http://schemas.openxmlformats.org/officeDocument/2006/relationships/hyperlink" Target="..\..\..\..\..\..\..\..\..\TI_projekt_daten\Audio\024F_&#228;hm_014.wav" TargetMode="External"/><Relationship Id="rId465" Type="http://schemas.openxmlformats.org/officeDocument/2006/relationships/hyperlink" Target="../../../../../../../../../TI_projekt_daten/Audio/017M_&#228;h_016.wav" TargetMode="External"/><Relationship Id="rId672" Type="http://schemas.openxmlformats.org/officeDocument/2006/relationships/hyperlink" Target="../../../../../../../../../TI_projekt_daten/Audio/015M_&#228;hm_033.wav" TargetMode="External"/><Relationship Id="rId22" Type="http://schemas.openxmlformats.org/officeDocument/2006/relationships/hyperlink" Target="..\..\..\..\..\..\..\..\..\TI_projekt_daten\Audio\029F_&#228;hm_001.wav" TargetMode="External"/><Relationship Id="rId118" Type="http://schemas.openxmlformats.org/officeDocument/2006/relationships/hyperlink" Target="../../../../../../../../../TI_projekt_daten/Audio/010M_&#228;h_002.wav" TargetMode="External"/><Relationship Id="rId325" Type="http://schemas.openxmlformats.org/officeDocument/2006/relationships/hyperlink" Target="../../../../../../../../../TI_projekt_daten/Audio/014M_ahm_011.wav" TargetMode="External"/><Relationship Id="rId532" Type="http://schemas.openxmlformats.org/officeDocument/2006/relationships/hyperlink" Target="..\..\..\..\..\..\..\..\..\TI_projekt_daten\Audio\016M_ahm_022.wav" TargetMode="External"/><Relationship Id="rId171" Type="http://schemas.openxmlformats.org/officeDocument/2006/relationships/hyperlink" Target="../../../../../../../../../TI_projekt_daten/Audio/038F_&#228;hm_005.wav" TargetMode="External"/><Relationship Id="rId269" Type="http://schemas.openxmlformats.org/officeDocument/2006/relationships/hyperlink" Target="../../../../../../../../../TI_projekt_daten/Audio/024F_ahm_011.wav" TargetMode="External"/><Relationship Id="rId476" Type="http://schemas.openxmlformats.org/officeDocument/2006/relationships/hyperlink" Target="../../../../../../../../../TI_projekt_daten/Audio/011M_&#228;hm_005.wav" TargetMode="External"/><Relationship Id="rId683" Type="http://schemas.openxmlformats.org/officeDocument/2006/relationships/hyperlink" Target="../../../../../../../../../TI_projekt_daten/Audio/015M_&#228;hm_036.wav" TargetMode="External"/><Relationship Id="rId33" Type="http://schemas.openxmlformats.org/officeDocument/2006/relationships/hyperlink" Target="..\..\..\..\..\..\..\..\..\TI_projekt_daten\Audio\003M_&#228;h_005.wav" TargetMode="External"/><Relationship Id="rId129" Type="http://schemas.openxmlformats.org/officeDocument/2006/relationships/hyperlink" Target="../../../../../../../../../TI_projekt_daten/Audio/012M_&#228;h_006.wav" TargetMode="External"/><Relationship Id="rId336" Type="http://schemas.openxmlformats.org/officeDocument/2006/relationships/hyperlink" Target="../../../../../../../../../TI_projekt_daten/Audio/015M_&#228;h_025.wav" TargetMode="External"/><Relationship Id="rId543" Type="http://schemas.openxmlformats.org/officeDocument/2006/relationships/hyperlink" Target="../../../../../../../../../TI_projekt_daten/Audio/036F_&#228;h_013.wav" TargetMode="External"/><Relationship Id="rId182" Type="http://schemas.openxmlformats.org/officeDocument/2006/relationships/hyperlink" Target="..\..\..\..\..\..\..\..\..\TI_projekt_daten\Audio\022F_&#228;h_004.wav" TargetMode="External"/><Relationship Id="rId403" Type="http://schemas.openxmlformats.org/officeDocument/2006/relationships/hyperlink" Target="../../../../../../../../../TI_projekt_daten/Audio/015M_&#228;hm_015.wav" TargetMode="External"/><Relationship Id="rId750" Type="http://schemas.openxmlformats.org/officeDocument/2006/relationships/hyperlink" Target="..\..\..\..\..\..\..\..\..\TI_projekt_daten\Audio\015M_&#228;h_068.wav" TargetMode="External"/><Relationship Id="rId487" Type="http://schemas.openxmlformats.org/officeDocument/2006/relationships/hyperlink" Target="../../../../../../../../../TI_projekt_daten/Audio/016M_&#228;hm_015.wav" TargetMode="External"/><Relationship Id="rId610" Type="http://schemas.openxmlformats.org/officeDocument/2006/relationships/hyperlink" Target="../../../../../../../../../TI_projekt_daten/Audio/037F_&#228;hm_006.wav" TargetMode="External"/><Relationship Id="rId694" Type="http://schemas.openxmlformats.org/officeDocument/2006/relationships/hyperlink" Target="../../../../../../../../../TI_projekt_daten/Audio/016M_&#228;h_013.wav" TargetMode="External"/><Relationship Id="rId708" Type="http://schemas.openxmlformats.org/officeDocument/2006/relationships/hyperlink" Target="../../../../../../../../../TI_projekt_daten/Audio/016M_ahm_028.wav" TargetMode="External"/><Relationship Id="rId347" Type="http://schemas.openxmlformats.org/officeDocument/2006/relationships/hyperlink" Target="../../../../../../../../../TI_projekt_daten/Audio/039F_&#228;h_005.wav" TargetMode="External"/><Relationship Id="rId44" Type="http://schemas.openxmlformats.org/officeDocument/2006/relationships/hyperlink" Target="..\..\..\..\..\..\..\..\..\TI_projekt_daten\Audio\004M_&#228;h_002.wav" TargetMode="External"/><Relationship Id="rId554" Type="http://schemas.openxmlformats.org/officeDocument/2006/relationships/hyperlink" Target="../../../../../../../../../TI_projekt_daten/Audio/016M_ahm_024.wav" TargetMode="External"/><Relationship Id="rId761" Type="http://schemas.openxmlformats.org/officeDocument/2006/relationships/hyperlink" Target="../../../../../../../../../TI_projekt_daten/Audio/039F_&#228;hm_006.wa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871"/>
  <sheetViews>
    <sheetView tabSelected="1" topLeftCell="B1" workbookViewId="0">
      <pane xSplit="1" topLeftCell="C1" activePane="topRight" state="frozen"/>
      <selection activeCell="B1" sqref="B1"/>
      <selection pane="topRight" activeCell="B577" sqref="A577:XFD577"/>
    </sheetView>
  </sheetViews>
  <sheetFormatPr baseColWidth="10" defaultColWidth="9.140625" defaultRowHeight="15" zeroHeight="1" x14ac:dyDescent="0.25"/>
  <cols>
    <col min="1" max="1" width="6.5703125" customWidth="1"/>
    <col min="2" max="2" width="19.7109375" bestFit="1" customWidth="1"/>
    <col min="3" max="3" width="10.28515625" customWidth="1"/>
    <col min="5" max="5" width="5.140625" customWidth="1"/>
    <col min="6" max="6" width="11.85546875" customWidth="1"/>
    <col min="7" max="7" width="11" customWidth="1"/>
    <col min="8" max="8" width="12.28515625" customWidth="1"/>
    <col min="9" max="9" width="6.28515625" customWidth="1"/>
    <col min="10" max="10" width="27.5703125" bestFit="1" customWidth="1"/>
    <col min="11" max="11" width="5.42578125" customWidth="1"/>
    <col min="13" max="13" width="8.7109375" customWidth="1"/>
    <col min="14" max="14" width="8.140625" customWidth="1"/>
    <col min="15" max="15" width="8.7109375" customWidth="1"/>
    <col min="16" max="16" width="13.7109375" customWidth="1"/>
    <col min="17" max="17" width="6" customWidth="1"/>
    <col min="18" max="18" width="13.28515625" customWidth="1"/>
    <col min="19" max="19" width="24.42578125" customWidth="1"/>
    <col min="20" max="20" width="90.7109375" customWidth="1"/>
    <col min="21" max="21" width="255.7109375" bestFit="1" customWidth="1"/>
    <col min="22" max="22" width="197.5703125" bestFit="1" customWidth="1"/>
    <col min="23" max="23" width="17.85546875" bestFit="1" customWidth="1"/>
    <col min="24" max="24" width="19.140625" bestFit="1" customWidth="1"/>
    <col min="25" max="25" width="64.85546875" bestFit="1" customWidth="1"/>
    <col min="26" max="26" width="49.42578125" bestFit="1" customWidth="1"/>
    <col min="27" max="27" width="16.140625" customWidth="1"/>
    <col min="28" max="28" width="39.28515625" bestFit="1" customWidth="1"/>
    <col min="29" max="29" width="35.7109375" bestFit="1" customWidth="1"/>
    <col min="30" max="30" width="19.140625" bestFit="1" customWidth="1"/>
    <col min="31" max="31" width="133.85546875" bestFit="1" customWidth="1"/>
    <col min="32" max="32" width="70.5703125" bestFit="1" customWidth="1"/>
  </cols>
  <sheetData>
    <row r="1" spans="1:32" x14ac:dyDescent="0.25">
      <c r="A1" s="1" t="s">
        <v>0</v>
      </c>
      <c r="B1" s="1" t="s">
        <v>2238</v>
      </c>
      <c r="C1" s="1" t="s">
        <v>1</v>
      </c>
      <c r="D1" s="1" t="s">
        <v>2</v>
      </c>
      <c r="E1" s="1" t="s">
        <v>3</v>
      </c>
      <c r="F1" s="1" t="s">
        <v>4</v>
      </c>
      <c r="G1" s="1" t="s">
        <v>5</v>
      </c>
      <c r="H1" s="1" t="s">
        <v>6</v>
      </c>
      <c r="I1" s="1" t="s">
        <v>7</v>
      </c>
      <c r="J1" s="1" t="s">
        <v>8</v>
      </c>
      <c r="K1" s="2" t="s">
        <v>9</v>
      </c>
      <c r="L1" s="1" t="s">
        <v>10</v>
      </c>
      <c r="M1" s="1" t="s">
        <v>11</v>
      </c>
      <c r="N1" s="1" t="s">
        <v>12</v>
      </c>
      <c r="O1" s="1" t="s">
        <v>13</v>
      </c>
      <c r="P1" s="1" t="s">
        <v>14</v>
      </c>
      <c r="Q1" s="2" t="s">
        <v>1966</v>
      </c>
      <c r="R1" s="2" t="s">
        <v>1976</v>
      </c>
      <c r="S1" s="2" t="s">
        <v>2014</v>
      </c>
      <c r="T1" s="1" t="s">
        <v>15</v>
      </c>
      <c r="U1" s="1" t="s">
        <v>16</v>
      </c>
      <c r="V1" s="1" t="s">
        <v>17</v>
      </c>
      <c r="W1" s="1" t="s">
        <v>2358</v>
      </c>
      <c r="X1" s="1" t="s">
        <v>2322</v>
      </c>
      <c r="Y1" s="1" t="s">
        <v>2317</v>
      </c>
      <c r="Z1" s="1" t="s">
        <v>2321</v>
      </c>
      <c r="AA1" s="1" t="s">
        <v>2320</v>
      </c>
      <c r="AB1" s="1" t="s">
        <v>2329</v>
      </c>
      <c r="AC1" s="1" t="s">
        <v>2330</v>
      </c>
      <c r="AD1" s="1" t="s">
        <v>2323</v>
      </c>
      <c r="AE1" s="1" t="s">
        <v>2318</v>
      </c>
      <c r="AF1" s="1" t="s">
        <v>2319</v>
      </c>
    </row>
    <row r="2" spans="1:32" hidden="1" x14ac:dyDescent="0.25">
      <c r="A2">
        <v>4</v>
      </c>
      <c r="C2" t="s">
        <v>18</v>
      </c>
      <c r="D2" t="s">
        <v>19</v>
      </c>
      <c r="E2" t="s">
        <v>29</v>
      </c>
      <c r="F2">
        <v>488.14299999999997</v>
      </c>
      <c r="G2">
        <v>497.58600000000001</v>
      </c>
      <c r="H2" s="3" t="s">
        <v>30</v>
      </c>
      <c r="I2" t="s">
        <v>1932</v>
      </c>
      <c r="J2" t="s">
        <v>1944</v>
      </c>
      <c r="S2" t="s">
        <v>2227</v>
      </c>
      <c r="U2" t="s">
        <v>31</v>
      </c>
    </row>
    <row r="3" spans="1:32" hidden="1" x14ac:dyDescent="0.25">
      <c r="A3">
        <v>9</v>
      </c>
      <c r="C3" t="s">
        <v>18</v>
      </c>
      <c r="D3" t="s">
        <v>19</v>
      </c>
      <c r="E3" t="s">
        <v>44</v>
      </c>
      <c r="F3">
        <v>2618.002</v>
      </c>
      <c r="G3">
        <v>2629.5169999999998</v>
      </c>
      <c r="H3" s="3" t="s">
        <v>45</v>
      </c>
      <c r="I3" t="s">
        <v>1932</v>
      </c>
      <c r="J3" t="s">
        <v>1940</v>
      </c>
      <c r="U3" t="s">
        <v>46</v>
      </c>
    </row>
    <row r="4" spans="1:32" hidden="1" x14ac:dyDescent="0.25">
      <c r="A4">
        <v>17</v>
      </c>
      <c r="C4" t="s">
        <v>18</v>
      </c>
      <c r="D4" t="s">
        <v>47</v>
      </c>
      <c r="E4" t="s">
        <v>41</v>
      </c>
      <c r="F4">
        <v>3584.7959999999998</v>
      </c>
      <c r="G4">
        <v>3593.2379999999998</v>
      </c>
      <c r="H4" s="3" t="s">
        <v>63</v>
      </c>
      <c r="I4" t="s">
        <v>1932</v>
      </c>
      <c r="J4" t="s">
        <v>2101</v>
      </c>
      <c r="L4" t="s">
        <v>1932</v>
      </c>
      <c r="M4" t="s">
        <v>1932</v>
      </c>
      <c r="N4" t="s">
        <v>1932</v>
      </c>
      <c r="O4" t="s">
        <v>1936</v>
      </c>
      <c r="P4" t="s">
        <v>1932</v>
      </c>
      <c r="Q4">
        <v>2</v>
      </c>
      <c r="T4" t="s">
        <v>2045</v>
      </c>
      <c r="U4" t="s">
        <v>64</v>
      </c>
    </row>
    <row r="5" spans="1:32" hidden="1" x14ac:dyDescent="0.25">
      <c r="A5">
        <v>10</v>
      </c>
      <c r="C5" t="s">
        <v>18</v>
      </c>
      <c r="D5" t="s">
        <v>47</v>
      </c>
      <c r="E5" t="s">
        <v>20</v>
      </c>
      <c r="F5">
        <v>297.108</v>
      </c>
      <c r="G5">
        <v>305.59399999999999</v>
      </c>
      <c r="H5" t="s">
        <v>48</v>
      </c>
      <c r="I5" t="s">
        <v>1932</v>
      </c>
      <c r="J5" t="s">
        <v>1939</v>
      </c>
      <c r="U5" t="s">
        <v>49</v>
      </c>
      <c r="V5" t="s">
        <v>50</v>
      </c>
    </row>
    <row r="6" spans="1:32" hidden="1" x14ac:dyDescent="0.25">
      <c r="A6">
        <v>15</v>
      </c>
      <c r="B6" t="s">
        <v>2240</v>
      </c>
      <c r="C6" t="s">
        <v>18</v>
      </c>
      <c r="D6" t="s">
        <v>47</v>
      </c>
      <c r="E6" t="s">
        <v>35</v>
      </c>
      <c r="F6">
        <v>1562.5409999999999</v>
      </c>
      <c r="G6">
        <v>1570.8679999999999</v>
      </c>
      <c r="H6" s="3" t="s">
        <v>59</v>
      </c>
      <c r="I6" t="s">
        <v>1934</v>
      </c>
      <c r="K6">
        <v>14</v>
      </c>
      <c r="L6" t="s">
        <v>1935</v>
      </c>
      <c r="M6" t="s">
        <v>1932</v>
      </c>
      <c r="N6" t="s">
        <v>1932</v>
      </c>
      <c r="O6" t="s">
        <v>1936</v>
      </c>
      <c r="P6" t="s">
        <v>1934</v>
      </c>
      <c r="Q6">
        <v>1</v>
      </c>
      <c r="T6" t="s">
        <v>2017</v>
      </c>
      <c r="U6" t="s">
        <v>60</v>
      </c>
      <c r="W6" t="s">
        <v>1934</v>
      </c>
      <c r="X6">
        <v>2</v>
      </c>
      <c r="Y6" t="s">
        <v>2326</v>
      </c>
      <c r="Z6" s="5"/>
      <c r="AA6">
        <v>1</v>
      </c>
      <c r="AB6" s="5"/>
      <c r="AD6">
        <v>1</v>
      </c>
      <c r="AE6" t="s">
        <v>2326</v>
      </c>
      <c r="AF6" t="s">
        <v>2326</v>
      </c>
    </row>
    <row r="7" spans="1:32" hidden="1" x14ac:dyDescent="0.25">
      <c r="A7">
        <v>1</v>
      </c>
      <c r="C7" t="s">
        <v>18</v>
      </c>
      <c r="D7" t="s">
        <v>19</v>
      </c>
      <c r="E7" t="s">
        <v>20</v>
      </c>
      <c r="F7">
        <v>363.38499999999999</v>
      </c>
      <c r="G7">
        <v>371.76799999999997</v>
      </c>
      <c r="H7" s="3" t="s">
        <v>21</v>
      </c>
      <c r="I7" t="s">
        <v>1932</v>
      </c>
      <c r="J7" t="s">
        <v>1933</v>
      </c>
      <c r="U7" t="s">
        <v>22</v>
      </c>
    </row>
    <row r="8" spans="1:32" hidden="1" x14ac:dyDescent="0.25">
      <c r="A8">
        <v>2</v>
      </c>
      <c r="C8" t="s">
        <v>18</v>
      </c>
      <c r="D8" t="s">
        <v>19</v>
      </c>
      <c r="E8" t="s">
        <v>23</v>
      </c>
      <c r="F8">
        <v>396.67200000000003</v>
      </c>
      <c r="G8">
        <v>405.012</v>
      </c>
      <c r="H8" s="3" t="s">
        <v>24</v>
      </c>
      <c r="I8" t="s">
        <v>1932</v>
      </c>
      <c r="J8" t="s">
        <v>1933</v>
      </c>
      <c r="U8" t="s">
        <v>25</v>
      </c>
    </row>
    <row r="9" spans="1:32" hidden="1" x14ac:dyDescent="0.25">
      <c r="A9">
        <v>5</v>
      </c>
      <c r="C9" t="s">
        <v>18</v>
      </c>
      <c r="D9" t="s">
        <v>19</v>
      </c>
      <c r="E9" t="s">
        <v>32</v>
      </c>
      <c r="F9">
        <v>585.76300000000003</v>
      </c>
      <c r="G9">
        <v>595.46</v>
      </c>
      <c r="H9" t="s">
        <v>33</v>
      </c>
      <c r="I9" t="s">
        <v>1932</v>
      </c>
      <c r="J9" t="s">
        <v>1939</v>
      </c>
      <c r="U9" t="s">
        <v>34</v>
      </c>
    </row>
    <row r="10" spans="1:32" hidden="1" x14ac:dyDescent="0.25">
      <c r="A10">
        <v>12</v>
      </c>
      <c r="C10" t="s">
        <v>18</v>
      </c>
      <c r="D10" t="s">
        <v>47</v>
      </c>
      <c r="E10" t="s">
        <v>26</v>
      </c>
      <c r="F10">
        <v>825.47500000000002</v>
      </c>
      <c r="G10">
        <v>834.04399999999998</v>
      </c>
      <c r="H10" s="3" t="s">
        <v>53</v>
      </c>
      <c r="I10" t="s">
        <v>1932</v>
      </c>
      <c r="L10" t="s">
        <v>1932</v>
      </c>
      <c r="M10" t="s">
        <v>1934</v>
      </c>
      <c r="N10" t="s">
        <v>1932</v>
      </c>
      <c r="O10" t="s">
        <v>1942</v>
      </c>
      <c r="P10" t="s">
        <v>1937</v>
      </c>
      <c r="T10" t="s">
        <v>2008</v>
      </c>
      <c r="U10" t="s">
        <v>54</v>
      </c>
    </row>
    <row r="11" spans="1:32" hidden="1" x14ac:dyDescent="0.25">
      <c r="A11">
        <v>6</v>
      </c>
      <c r="C11" t="s">
        <v>18</v>
      </c>
      <c r="D11" t="s">
        <v>19</v>
      </c>
      <c r="E11" t="s">
        <v>35</v>
      </c>
      <c r="F11">
        <v>889.11</v>
      </c>
      <c r="G11">
        <v>897.40800000000002</v>
      </c>
      <c r="H11" t="s">
        <v>36</v>
      </c>
      <c r="I11" t="s">
        <v>1932</v>
      </c>
      <c r="J11" t="s">
        <v>1933</v>
      </c>
      <c r="U11" t="s">
        <v>37</v>
      </c>
    </row>
    <row r="12" spans="1:32" hidden="1" x14ac:dyDescent="0.25">
      <c r="A12">
        <v>7</v>
      </c>
      <c r="C12" t="s">
        <v>18</v>
      </c>
      <c r="D12" t="s">
        <v>19</v>
      </c>
      <c r="E12" t="s">
        <v>38</v>
      </c>
      <c r="F12">
        <v>1030.259</v>
      </c>
      <c r="G12">
        <v>1038.558</v>
      </c>
      <c r="H12" t="s">
        <v>39</v>
      </c>
      <c r="I12" t="s">
        <v>1932</v>
      </c>
      <c r="J12" t="s">
        <v>1933</v>
      </c>
      <c r="U12" t="s">
        <v>40</v>
      </c>
    </row>
    <row r="13" spans="1:32" hidden="1" x14ac:dyDescent="0.25">
      <c r="A13">
        <v>8</v>
      </c>
      <c r="C13" t="s">
        <v>18</v>
      </c>
      <c r="D13" t="s">
        <v>19</v>
      </c>
      <c r="E13" t="s">
        <v>41</v>
      </c>
      <c r="F13">
        <v>1463.0719999999999</v>
      </c>
      <c r="G13">
        <v>1471.3340000000001</v>
      </c>
      <c r="H13" s="3" t="s">
        <v>42</v>
      </c>
      <c r="I13" t="s">
        <v>1932</v>
      </c>
      <c r="J13" t="s">
        <v>1957</v>
      </c>
      <c r="U13" t="s">
        <v>43</v>
      </c>
    </row>
    <row r="14" spans="1:32" hidden="1" x14ac:dyDescent="0.25">
      <c r="A14">
        <v>13</v>
      </c>
      <c r="C14" t="s">
        <v>18</v>
      </c>
      <c r="D14" t="s">
        <v>47</v>
      </c>
      <c r="E14" t="s">
        <v>29</v>
      </c>
      <c r="F14">
        <v>1539.479</v>
      </c>
      <c r="G14">
        <v>1547.84</v>
      </c>
      <c r="H14" s="3" t="s">
        <v>55</v>
      </c>
      <c r="I14" t="s">
        <v>1932</v>
      </c>
      <c r="J14" t="s">
        <v>2101</v>
      </c>
      <c r="U14" t="s">
        <v>56</v>
      </c>
    </row>
    <row r="15" spans="1:32" hidden="1" x14ac:dyDescent="0.25">
      <c r="A15">
        <v>14</v>
      </c>
      <c r="C15" t="s">
        <v>18</v>
      </c>
      <c r="D15" t="s">
        <v>47</v>
      </c>
      <c r="E15" t="s">
        <v>32</v>
      </c>
      <c r="F15">
        <v>1553.385</v>
      </c>
      <c r="G15">
        <v>1562.5319999999999</v>
      </c>
      <c r="H15" t="s">
        <v>57</v>
      </c>
      <c r="I15" t="s">
        <v>1932</v>
      </c>
      <c r="J15" t="s">
        <v>1941</v>
      </c>
      <c r="K15">
        <v>15</v>
      </c>
      <c r="L15" t="s">
        <v>1932</v>
      </c>
      <c r="M15" t="s">
        <v>1934</v>
      </c>
      <c r="N15" t="s">
        <v>1932</v>
      </c>
      <c r="O15" t="s">
        <v>1942</v>
      </c>
      <c r="T15" t="s">
        <v>1962</v>
      </c>
      <c r="U15" t="s">
        <v>58</v>
      </c>
    </row>
    <row r="16" spans="1:32" hidden="1" x14ac:dyDescent="0.25">
      <c r="A16">
        <v>16</v>
      </c>
      <c r="C16" t="s">
        <v>18</v>
      </c>
      <c r="D16" t="s">
        <v>47</v>
      </c>
      <c r="E16" t="s">
        <v>38</v>
      </c>
      <c r="F16">
        <v>1646.078</v>
      </c>
      <c r="G16">
        <v>1655.3240000000001</v>
      </c>
      <c r="H16" s="3" t="s">
        <v>61</v>
      </c>
      <c r="I16" t="s">
        <v>1932</v>
      </c>
      <c r="J16" t="s">
        <v>1957</v>
      </c>
      <c r="U16" t="s">
        <v>62</v>
      </c>
    </row>
    <row r="17" spans="1:22" hidden="1" x14ac:dyDescent="0.25">
      <c r="A17">
        <v>18</v>
      </c>
      <c r="C17" t="s">
        <v>65</v>
      </c>
      <c r="D17" t="s">
        <v>19</v>
      </c>
      <c r="E17" t="s">
        <v>20</v>
      </c>
      <c r="F17">
        <v>234.184</v>
      </c>
      <c r="G17">
        <v>243.37</v>
      </c>
      <c r="H17" s="3" t="s">
        <v>66</v>
      </c>
      <c r="I17" t="s">
        <v>1932</v>
      </c>
      <c r="J17" t="s">
        <v>1957</v>
      </c>
      <c r="U17" t="s">
        <v>67</v>
      </c>
      <c r="V17" t="s">
        <v>68</v>
      </c>
    </row>
    <row r="18" spans="1:22" hidden="1" x14ac:dyDescent="0.25">
      <c r="A18">
        <v>38</v>
      </c>
      <c r="C18" t="s">
        <v>65</v>
      </c>
      <c r="D18" t="s">
        <v>118</v>
      </c>
      <c r="E18" t="s">
        <v>20</v>
      </c>
      <c r="F18">
        <v>264.67899999999997</v>
      </c>
      <c r="G18">
        <v>273.822</v>
      </c>
      <c r="H18" s="3" t="s">
        <v>119</v>
      </c>
      <c r="I18" t="s">
        <v>1932</v>
      </c>
      <c r="J18" t="s">
        <v>1933</v>
      </c>
      <c r="U18" t="s">
        <v>120</v>
      </c>
      <c r="V18" t="s">
        <v>121</v>
      </c>
    </row>
    <row r="19" spans="1:22" hidden="1" x14ac:dyDescent="0.25">
      <c r="A19">
        <v>23</v>
      </c>
      <c r="C19" t="s">
        <v>65</v>
      </c>
      <c r="D19" t="s">
        <v>19</v>
      </c>
      <c r="E19" t="s">
        <v>35</v>
      </c>
      <c r="F19">
        <v>1517.6079999999999</v>
      </c>
      <c r="G19">
        <v>1525.9690000000001</v>
      </c>
      <c r="H19" s="3" t="s">
        <v>77</v>
      </c>
      <c r="I19" t="s">
        <v>1932</v>
      </c>
      <c r="J19" t="s">
        <v>1941</v>
      </c>
      <c r="U19" t="s">
        <v>78</v>
      </c>
    </row>
    <row r="20" spans="1:22" hidden="1" x14ac:dyDescent="0.25">
      <c r="A20">
        <v>28</v>
      </c>
      <c r="C20" t="s">
        <v>65</v>
      </c>
      <c r="D20" t="s">
        <v>19</v>
      </c>
      <c r="E20" t="s">
        <v>88</v>
      </c>
      <c r="F20">
        <v>2067.444</v>
      </c>
      <c r="G20">
        <v>2076.1089999999999</v>
      </c>
      <c r="H20" t="s">
        <v>89</v>
      </c>
      <c r="I20" t="s">
        <v>1932</v>
      </c>
      <c r="J20" t="s">
        <v>1954</v>
      </c>
      <c r="U20" t="s">
        <v>90</v>
      </c>
    </row>
    <row r="21" spans="1:22" hidden="1" x14ac:dyDescent="0.25">
      <c r="A21">
        <v>29</v>
      </c>
      <c r="C21" t="s">
        <v>65</v>
      </c>
      <c r="D21" t="s">
        <v>19</v>
      </c>
      <c r="E21" t="s">
        <v>91</v>
      </c>
      <c r="F21">
        <v>2223.2440000000001</v>
      </c>
      <c r="G21">
        <v>2231.8679999999999</v>
      </c>
      <c r="H21" s="3" t="s">
        <v>92</v>
      </c>
      <c r="I21" t="s">
        <v>1932</v>
      </c>
      <c r="J21" t="s">
        <v>1938</v>
      </c>
      <c r="K21">
        <v>30</v>
      </c>
      <c r="U21" t="s">
        <v>93</v>
      </c>
    </row>
    <row r="22" spans="1:22" hidden="1" x14ac:dyDescent="0.25">
      <c r="A22">
        <v>30</v>
      </c>
      <c r="C22" t="s">
        <v>65</v>
      </c>
      <c r="D22" t="s">
        <v>19</v>
      </c>
      <c r="E22" t="s">
        <v>94</v>
      </c>
      <c r="F22">
        <v>2226.6669999999999</v>
      </c>
      <c r="G22">
        <v>2235.201</v>
      </c>
      <c r="H22" s="3" t="s">
        <v>95</v>
      </c>
      <c r="I22" t="s">
        <v>1932</v>
      </c>
      <c r="J22" t="s">
        <v>2101</v>
      </c>
      <c r="K22">
        <v>29</v>
      </c>
      <c r="U22" t="s">
        <v>96</v>
      </c>
    </row>
    <row r="23" spans="1:22" hidden="1" x14ac:dyDescent="0.25">
      <c r="A23">
        <v>41</v>
      </c>
      <c r="C23" t="s">
        <v>65</v>
      </c>
      <c r="D23" t="s">
        <v>118</v>
      </c>
      <c r="E23" t="s">
        <v>29</v>
      </c>
      <c r="F23">
        <v>2266.6970000000001</v>
      </c>
      <c r="G23">
        <v>2275.0250000000001</v>
      </c>
      <c r="H23" s="3" t="s">
        <v>126</v>
      </c>
      <c r="I23" t="s">
        <v>1932</v>
      </c>
      <c r="J23" t="s">
        <v>1947</v>
      </c>
      <c r="U23" t="s">
        <v>127</v>
      </c>
    </row>
    <row r="24" spans="1:22" hidden="1" x14ac:dyDescent="0.25">
      <c r="A24">
        <v>32</v>
      </c>
      <c r="C24" t="s">
        <v>65</v>
      </c>
      <c r="D24" t="s">
        <v>19</v>
      </c>
      <c r="E24" t="s">
        <v>100</v>
      </c>
      <c r="F24">
        <v>2760.3</v>
      </c>
      <c r="G24">
        <v>2768.768</v>
      </c>
      <c r="H24" t="s">
        <v>101</v>
      </c>
      <c r="I24" t="s">
        <v>1932</v>
      </c>
      <c r="J24" t="s">
        <v>1949</v>
      </c>
      <c r="U24" t="s">
        <v>102</v>
      </c>
    </row>
    <row r="25" spans="1:22" hidden="1" x14ac:dyDescent="0.25">
      <c r="A25">
        <v>35</v>
      </c>
      <c r="C25" t="s">
        <v>65</v>
      </c>
      <c r="D25" t="s">
        <v>19</v>
      </c>
      <c r="E25" t="s">
        <v>109</v>
      </c>
      <c r="F25">
        <v>3365.1129999999998</v>
      </c>
      <c r="G25">
        <v>3373.6190000000001</v>
      </c>
      <c r="H25" s="3" t="s">
        <v>110</v>
      </c>
      <c r="I25" t="s">
        <v>1932</v>
      </c>
      <c r="J25" t="s">
        <v>1954</v>
      </c>
      <c r="U25" t="s">
        <v>111</v>
      </c>
    </row>
    <row r="26" spans="1:22" hidden="1" x14ac:dyDescent="0.25">
      <c r="A26">
        <v>31</v>
      </c>
      <c r="C26" t="s">
        <v>65</v>
      </c>
      <c r="D26" t="s">
        <v>19</v>
      </c>
      <c r="E26" t="s">
        <v>97</v>
      </c>
      <c r="F26">
        <v>2296.3530000000001</v>
      </c>
      <c r="G26">
        <v>2304.895</v>
      </c>
      <c r="H26" t="s">
        <v>98</v>
      </c>
      <c r="I26" t="s">
        <v>1932</v>
      </c>
      <c r="J26" t="s">
        <v>1944</v>
      </c>
      <c r="U26" t="s">
        <v>99</v>
      </c>
    </row>
    <row r="27" spans="1:22" hidden="1" x14ac:dyDescent="0.25">
      <c r="A27">
        <v>42</v>
      </c>
      <c r="C27" t="s">
        <v>65</v>
      </c>
      <c r="D27" t="s">
        <v>118</v>
      </c>
      <c r="E27" t="s">
        <v>32</v>
      </c>
      <c r="F27">
        <v>3375.8009999999999</v>
      </c>
      <c r="G27">
        <v>3384.9209999999998</v>
      </c>
      <c r="H27" s="3" t="s">
        <v>128</v>
      </c>
      <c r="I27" t="s">
        <v>1932</v>
      </c>
      <c r="J27" t="s">
        <v>1957</v>
      </c>
      <c r="U27" t="s">
        <v>129</v>
      </c>
    </row>
    <row r="28" spans="1:22" hidden="1" x14ac:dyDescent="0.25">
      <c r="A28">
        <v>44</v>
      </c>
      <c r="C28" t="s">
        <v>132</v>
      </c>
      <c r="D28" t="s">
        <v>19</v>
      </c>
      <c r="E28" t="s">
        <v>20</v>
      </c>
      <c r="F28">
        <v>44.61</v>
      </c>
      <c r="G28">
        <v>53.15</v>
      </c>
      <c r="H28" s="3" t="s">
        <v>133</v>
      </c>
      <c r="I28" t="s">
        <v>1932</v>
      </c>
      <c r="J28" t="s">
        <v>2092</v>
      </c>
      <c r="L28" t="s">
        <v>1932</v>
      </c>
      <c r="M28" t="s">
        <v>1934</v>
      </c>
      <c r="N28" t="s">
        <v>1932</v>
      </c>
      <c r="O28" t="s">
        <v>1936</v>
      </c>
      <c r="P28" t="s">
        <v>1934</v>
      </c>
      <c r="R28" t="s">
        <v>1970</v>
      </c>
      <c r="T28" t="s">
        <v>1969</v>
      </c>
      <c r="U28" t="s">
        <v>134</v>
      </c>
      <c r="V28" t="s">
        <v>135</v>
      </c>
    </row>
    <row r="29" spans="1:22" x14ac:dyDescent="0.25">
      <c r="A29">
        <v>11</v>
      </c>
      <c r="C29" t="s">
        <v>18</v>
      </c>
      <c r="D29" t="s">
        <v>47</v>
      </c>
      <c r="E29" t="s">
        <v>23</v>
      </c>
      <c r="F29">
        <v>783.33299999999997</v>
      </c>
      <c r="G29">
        <v>792.04899999999998</v>
      </c>
      <c r="H29" s="3" t="s">
        <v>51</v>
      </c>
      <c r="I29" t="s">
        <v>1934</v>
      </c>
      <c r="J29" t="s">
        <v>2229</v>
      </c>
      <c r="L29" t="s">
        <v>1932</v>
      </c>
      <c r="M29" t="s">
        <v>1932</v>
      </c>
      <c r="N29" t="s">
        <v>1932</v>
      </c>
      <c r="O29" t="s">
        <v>1942</v>
      </c>
      <c r="P29" t="s">
        <v>2095</v>
      </c>
      <c r="Q29">
        <v>4</v>
      </c>
      <c r="T29" t="s">
        <v>2230</v>
      </c>
      <c r="U29" t="s">
        <v>52</v>
      </c>
    </row>
    <row r="30" spans="1:22" hidden="1" x14ac:dyDescent="0.25">
      <c r="A30">
        <v>70</v>
      </c>
      <c r="C30" t="s">
        <v>132</v>
      </c>
      <c r="D30" t="s">
        <v>118</v>
      </c>
      <c r="E30" t="s">
        <v>20</v>
      </c>
      <c r="F30">
        <v>205.93</v>
      </c>
      <c r="G30">
        <v>214.52699999999999</v>
      </c>
      <c r="H30" s="3" t="s">
        <v>196</v>
      </c>
      <c r="I30" t="s">
        <v>1932</v>
      </c>
      <c r="J30" t="s">
        <v>2092</v>
      </c>
      <c r="L30" t="s">
        <v>1932</v>
      </c>
      <c r="M30" t="s">
        <v>1934</v>
      </c>
      <c r="N30" t="s">
        <v>1932</v>
      </c>
      <c r="O30" t="s">
        <v>1942</v>
      </c>
      <c r="P30" t="s">
        <v>1937</v>
      </c>
      <c r="T30" t="s">
        <v>1994</v>
      </c>
      <c r="U30" t="s">
        <v>197</v>
      </c>
      <c r="V30" t="s">
        <v>198</v>
      </c>
    </row>
    <row r="31" spans="1:22" hidden="1" x14ac:dyDescent="0.25">
      <c r="A31">
        <v>52</v>
      </c>
      <c r="C31" t="s">
        <v>132</v>
      </c>
      <c r="D31" t="s">
        <v>19</v>
      </c>
      <c r="E31" t="s">
        <v>44</v>
      </c>
      <c r="F31">
        <v>732.73599999999999</v>
      </c>
      <c r="G31">
        <v>744.65899999999999</v>
      </c>
      <c r="H31" s="3" t="s">
        <v>154</v>
      </c>
      <c r="I31" t="s">
        <v>1932</v>
      </c>
      <c r="J31" t="s">
        <v>1947</v>
      </c>
      <c r="U31" t="s">
        <v>155</v>
      </c>
    </row>
    <row r="32" spans="1:22" hidden="1" x14ac:dyDescent="0.25">
      <c r="A32">
        <v>55</v>
      </c>
      <c r="C32" t="s">
        <v>132</v>
      </c>
      <c r="D32" t="s">
        <v>19</v>
      </c>
      <c r="E32" t="s">
        <v>91</v>
      </c>
      <c r="F32">
        <v>905.95</v>
      </c>
      <c r="G32">
        <v>914.52599999999995</v>
      </c>
      <c r="H32" t="s">
        <v>160</v>
      </c>
      <c r="I32" t="s">
        <v>1932</v>
      </c>
      <c r="J32" t="s">
        <v>1949</v>
      </c>
      <c r="U32" t="s">
        <v>161</v>
      </c>
    </row>
    <row r="33" spans="1:30" hidden="1" x14ac:dyDescent="0.25">
      <c r="A33">
        <v>71</v>
      </c>
      <c r="C33" t="s">
        <v>132</v>
      </c>
      <c r="D33" t="s">
        <v>118</v>
      </c>
      <c r="E33" t="s">
        <v>23</v>
      </c>
      <c r="F33">
        <v>1992.4739999999999</v>
      </c>
      <c r="G33">
        <v>2001.596</v>
      </c>
      <c r="H33" s="3" t="s">
        <v>199</v>
      </c>
      <c r="I33" t="s">
        <v>1932</v>
      </c>
      <c r="J33" t="s">
        <v>1952</v>
      </c>
      <c r="U33" t="s">
        <v>200</v>
      </c>
    </row>
    <row r="34" spans="1:30" hidden="1" x14ac:dyDescent="0.25">
      <c r="A34">
        <v>68</v>
      </c>
      <c r="C34" t="s">
        <v>132</v>
      </c>
      <c r="D34" t="s">
        <v>19</v>
      </c>
      <c r="E34" t="s">
        <v>190</v>
      </c>
      <c r="F34">
        <v>2951.748</v>
      </c>
      <c r="G34">
        <v>2962.364</v>
      </c>
      <c r="H34" s="3" t="s">
        <v>191</v>
      </c>
      <c r="I34" t="s">
        <v>1932</v>
      </c>
      <c r="J34" t="s">
        <v>1957</v>
      </c>
      <c r="U34" t="s">
        <v>192</v>
      </c>
    </row>
    <row r="35" spans="1:30" hidden="1" x14ac:dyDescent="0.25">
      <c r="A35">
        <v>47</v>
      </c>
      <c r="C35" t="s">
        <v>132</v>
      </c>
      <c r="D35" t="s">
        <v>19</v>
      </c>
      <c r="E35" t="s">
        <v>29</v>
      </c>
      <c r="F35">
        <v>216.19200000000001</v>
      </c>
      <c r="G35">
        <v>224.94900000000001</v>
      </c>
      <c r="H35" t="s">
        <v>142</v>
      </c>
      <c r="I35" t="s">
        <v>1932</v>
      </c>
      <c r="J35" t="s">
        <v>1933</v>
      </c>
      <c r="U35" t="s">
        <v>143</v>
      </c>
      <c r="V35" t="s">
        <v>144</v>
      </c>
    </row>
    <row r="36" spans="1:30" hidden="1" x14ac:dyDescent="0.25">
      <c r="A36">
        <v>74</v>
      </c>
      <c r="C36" t="s">
        <v>132</v>
      </c>
      <c r="D36" t="s">
        <v>47</v>
      </c>
      <c r="E36" t="s">
        <v>23</v>
      </c>
      <c r="F36">
        <v>288.12200000000001</v>
      </c>
      <c r="G36">
        <v>296.70800000000003</v>
      </c>
      <c r="H36" t="s">
        <v>206</v>
      </c>
      <c r="I36" t="s">
        <v>1932</v>
      </c>
      <c r="J36" t="s">
        <v>1948</v>
      </c>
      <c r="U36" t="s">
        <v>207</v>
      </c>
      <c r="V36" t="s">
        <v>208</v>
      </c>
    </row>
    <row r="37" spans="1:30" hidden="1" x14ac:dyDescent="0.25">
      <c r="A37">
        <v>51</v>
      </c>
      <c r="C37" t="s">
        <v>132</v>
      </c>
      <c r="D37" t="s">
        <v>19</v>
      </c>
      <c r="E37" t="s">
        <v>41</v>
      </c>
      <c r="F37">
        <v>684.399</v>
      </c>
      <c r="G37">
        <v>693.62</v>
      </c>
      <c r="H37" s="3" t="s">
        <v>152</v>
      </c>
      <c r="I37" t="s">
        <v>1932</v>
      </c>
      <c r="J37" t="s">
        <v>1947</v>
      </c>
      <c r="U37" t="s">
        <v>153</v>
      </c>
    </row>
    <row r="38" spans="1:30" hidden="1" x14ac:dyDescent="0.25">
      <c r="A38">
        <v>76</v>
      </c>
      <c r="C38" t="s">
        <v>132</v>
      </c>
      <c r="D38" t="s">
        <v>47</v>
      </c>
      <c r="E38" t="s">
        <v>29</v>
      </c>
      <c r="F38">
        <v>731.31500000000005</v>
      </c>
      <c r="G38">
        <v>740.12599999999998</v>
      </c>
      <c r="H38" t="s">
        <v>211</v>
      </c>
      <c r="I38" t="s">
        <v>1932</v>
      </c>
      <c r="J38" t="s">
        <v>1948</v>
      </c>
      <c r="U38" t="s">
        <v>212</v>
      </c>
    </row>
    <row r="39" spans="1:30" hidden="1" x14ac:dyDescent="0.25">
      <c r="A39">
        <v>53</v>
      </c>
      <c r="C39" t="s">
        <v>132</v>
      </c>
      <c r="D39" t="s">
        <v>19</v>
      </c>
      <c r="E39" t="s">
        <v>85</v>
      </c>
      <c r="F39">
        <v>838.49</v>
      </c>
      <c r="G39">
        <v>850.09900000000005</v>
      </c>
      <c r="H39" s="3" t="s">
        <v>156</v>
      </c>
      <c r="I39" t="s">
        <v>1932</v>
      </c>
      <c r="J39" t="s">
        <v>1940</v>
      </c>
      <c r="U39" t="s">
        <v>157</v>
      </c>
    </row>
    <row r="40" spans="1:30" hidden="1" x14ac:dyDescent="0.25">
      <c r="A40">
        <v>54</v>
      </c>
      <c r="C40" t="s">
        <v>132</v>
      </c>
      <c r="D40" t="s">
        <v>19</v>
      </c>
      <c r="E40" t="s">
        <v>88</v>
      </c>
      <c r="F40">
        <v>869.08100000000002</v>
      </c>
      <c r="G40">
        <v>878.08299999999997</v>
      </c>
      <c r="H40" t="s">
        <v>158</v>
      </c>
      <c r="I40" t="s">
        <v>1932</v>
      </c>
      <c r="J40" t="s">
        <v>1948</v>
      </c>
      <c r="U40" t="s">
        <v>159</v>
      </c>
    </row>
    <row r="41" spans="1:30" hidden="1" x14ac:dyDescent="0.25">
      <c r="A41">
        <v>56</v>
      </c>
      <c r="C41" t="s">
        <v>132</v>
      </c>
      <c r="D41" t="s">
        <v>19</v>
      </c>
      <c r="E41" t="s">
        <v>94</v>
      </c>
      <c r="F41">
        <v>981.11800000000005</v>
      </c>
      <c r="G41">
        <v>991.52</v>
      </c>
      <c r="H41" t="s">
        <v>162</v>
      </c>
      <c r="I41" t="s">
        <v>1932</v>
      </c>
      <c r="J41" t="s">
        <v>1948</v>
      </c>
      <c r="U41" t="s">
        <v>163</v>
      </c>
    </row>
    <row r="42" spans="1:30" hidden="1" x14ac:dyDescent="0.25">
      <c r="A42">
        <v>77</v>
      </c>
      <c r="C42" t="s">
        <v>132</v>
      </c>
      <c r="D42" t="s">
        <v>47</v>
      </c>
      <c r="E42" t="s">
        <v>32</v>
      </c>
      <c r="F42">
        <v>1077.739</v>
      </c>
      <c r="G42">
        <v>1086.433</v>
      </c>
      <c r="H42" t="s">
        <v>213</v>
      </c>
      <c r="I42" t="s">
        <v>1932</v>
      </c>
      <c r="J42" t="s">
        <v>1939</v>
      </c>
      <c r="U42" t="s">
        <v>214</v>
      </c>
    </row>
    <row r="43" spans="1:30" hidden="1" x14ac:dyDescent="0.25">
      <c r="A43">
        <v>58</v>
      </c>
      <c r="C43" t="s">
        <v>132</v>
      </c>
      <c r="D43" t="s">
        <v>19</v>
      </c>
      <c r="E43" t="s">
        <v>100</v>
      </c>
      <c r="F43">
        <v>1293.5360000000001</v>
      </c>
      <c r="G43">
        <v>1302.171</v>
      </c>
      <c r="H43" t="s">
        <v>166</v>
      </c>
      <c r="I43" t="s">
        <v>1932</v>
      </c>
      <c r="J43" t="s">
        <v>1948</v>
      </c>
      <c r="U43" t="s">
        <v>167</v>
      </c>
    </row>
    <row r="44" spans="1:30" hidden="1" x14ac:dyDescent="0.25">
      <c r="A44">
        <v>3</v>
      </c>
      <c r="B44" t="s">
        <v>2239</v>
      </c>
      <c r="C44" t="s">
        <v>18</v>
      </c>
      <c r="D44" t="s">
        <v>19</v>
      </c>
      <c r="E44" t="s">
        <v>26</v>
      </c>
      <c r="F44">
        <v>460.452</v>
      </c>
      <c r="G44">
        <v>469.63799999999998</v>
      </c>
      <c r="H44" s="3" t="s">
        <v>27</v>
      </c>
      <c r="I44" t="s">
        <v>1934</v>
      </c>
      <c r="L44" t="s">
        <v>1935</v>
      </c>
      <c r="M44" t="s">
        <v>1932</v>
      </c>
      <c r="N44" t="s">
        <v>1932</v>
      </c>
      <c r="O44" t="s">
        <v>1936</v>
      </c>
      <c r="P44" t="s">
        <v>1934</v>
      </c>
      <c r="Q44">
        <v>1</v>
      </c>
      <c r="T44" t="s">
        <v>2005</v>
      </c>
      <c r="U44" t="s">
        <v>28</v>
      </c>
      <c r="W44" t="s">
        <v>1934</v>
      </c>
      <c r="X44">
        <v>1</v>
      </c>
      <c r="Y44" t="s">
        <v>2297</v>
      </c>
      <c r="Z44" s="5" t="s">
        <v>2297</v>
      </c>
      <c r="AA44">
        <v>1</v>
      </c>
      <c r="AB44" s="5"/>
      <c r="AC44" t="s">
        <v>2297</v>
      </c>
      <c r="AD44">
        <v>1</v>
      </c>
    </row>
    <row r="45" spans="1:30" hidden="1" x14ac:dyDescent="0.25">
      <c r="A45">
        <v>59</v>
      </c>
      <c r="C45" t="s">
        <v>132</v>
      </c>
      <c r="D45" t="s">
        <v>19</v>
      </c>
      <c r="E45" t="s">
        <v>103</v>
      </c>
      <c r="F45">
        <v>1747.29</v>
      </c>
      <c r="G45">
        <v>1757.8409999999999</v>
      </c>
      <c r="H45" s="3" t="s">
        <v>168</v>
      </c>
      <c r="I45" t="s">
        <v>1932</v>
      </c>
      <c r="L45" t="s">
        <v>1965</v>
      </c>
      <c r="M45" t="s">
        <v>1932</v>
      </c>
      <c r="N45" t="s">
        <v>1932</v>
      </c>
      <c r="O45" t="s">
        <v>1942</v>
      </c>
      <c r="P45" t="s">
        <v>1937</v>
      </c>
      <c r="T45" t="s">
        <v>2029</v>
      </c>
      <c r="U45" t="s">
        <v>169</v>
      </c>
    </row>
    <row r="46" spans="1:30" hidden="1" x14ac:dyDescent="0.25">
      <c r="A46">
        <v>60</v>
      </c>
      <c r="C46" t="s">
        <v>132</v>
      </c>
      <c r="D46" t="s">
        <v>19</v>
      </c>
      <c r="E46" t="s">
        <v>106</v>
      </c>
      <c r="F46">
        <v>2052.7950000000001</v>
      </c>
      <c r="G46">
        <v>2062.0889999999999</v>
      </c>
      <c r="H46" t="s">
        <v>170</v>
      </c>
      <c r="I46" t="s">
        <v>1932</v>
      </c>
      <c r="J46" t="s">
        <v>1948</v>
      </c>
      <c r="U46" t="s">
        <v>171</v>
      </c>
    </row>
    <row r="47" spans="1:30" hidden="1" x14ac:dyDescent="0.25">
      <c r="A47">
        <v>62</v>
      </c>
      <c r="C47" t="s">
        <v>132</v>
      </c>
      <c r="D47" t="s">
        <v>19</v>
      </c>
      <c r="E47" t="s">
        <v>112</v>
      </c>
      <c r="F47">
        <v>2253.21</v>
      </c>
      <c r="G47">
        <v>2261.8150000000001</v>
      </c>
      <c r="H47" t="s">
        <v>174</v>
      </c>
      <c r="I47" t="s">
        <v>1932</v>
      </c>
      <c r="J47" t="s">
        <v>1948</v>
      </c>
      <c r="U47" t="s">
        <v>175</v>
      </c>
    </row>
    <row r="48" spans="1:30" hidden="1" x14ac:dyDescent="0.25">
      <c r="A48">
        <v>63</v>
      </c>
      <c r="C48" t="s">
        <v>132</v>
      </c>
      <c r="D48" t="s">
        <v>19</v>
      </c>
      <c r="E48" t="s">
        <v>115</v>
      </c>
      <c r="F48">
        <v>2499.3519999999999</v>
      </c>
      <c r="G48">
        <v>2508.2640000000001</v>
      </c>
      <c r="H48" s="3" t="s">
        <v>176</v>
      </c>
      <c r="I48" t="s">
        <v>1932</v>
      </c>
      <c r="J48" t="s">
        <v>1957</v>
      </c>
      <c r="U48" t="s">
        <v>177</v>
      </c>
    </row>
    <row r="49" spans="1:30" hidden="1" x14ac:dyDescent="0.25">
      <c r="A49">
        <v>65</v>
      </c>
      <c r="C49" t="s">
        <v>132</v>
      </c>
      <c r="D49" t="s">
        <v>19</v>
      </c>
      <c r="E49" t="s">
        <v>181</v>
      </c>
      <c r="F49">
        <v>2759.623</v>
      </c>
      <c r="G49">
        <v>2769.5439999999999</v>
      </c>
      <c r="H49" t="s">
        <v>182</v>
      </c>
      <c r="I49" t="s">
        <v>1932</v>
      </c>
      <c r="J49" t="s">
        <v>1951</v>
      </c>
      <c r="U49" t="s">
        <v>183</v>
      </c>
    </row>
    <row r="50" spans="1:30" hidden="1" x14ac:dyDescent="0.25">
      <c r="A50">
        <v>69</v>
      </c>
      <c r="C50" t="s">
        <v>132</v>
      </c>
      <c r="D50" t="s">
        <v>19</v>
      </c>
      <c r="E50" t="s">
        <v>193</v>
      </c>
      <c r="F50">
        <v>3392.087</v>
      </c>
      <c r="G50">
        <v>3401.6840000000002</v>
      </c>
      <c r="H50" t="s">
        <v>194</v>
      </c>
      <c r="I50" t="s">
        <v>1932</v>
      </c>
      <c r="J50" t="s">
        <v>1947</v>
      </c>
      <c r="U50" t="s">
        <v>195</v>
      </c>
    </row>
    <row r="51" spans="1:30" hidden="1" x14ac:dyDescent="0.25">
      <c r="A51">
        <v>96</v>
      </c>
      <c r="C51" t="s">
        <v>252</v>
      </c>
      <c r="D51" t="s">
        <v>19</v>
      </c>
      <c r="E51" t="s">
        <v>20</v>
      </c>
      <c r="F51">
        <v>190.47</v>
      </c>
      <c r="G51">
        <v>200.65899999999999</v>
      </c>
      <c r="H51" s="3" t="s">
        <v>253</v>
      </c>
      <c r="I51" t="s">
        <v>1932</v>
      </c>
      <c r="J51" t="s">
        <v>2054</v>
      </c>
      <c r="U51" t="s">
        <v>254</v>
      </c>
    </row>
    <row r="52" spans="1:30" hidden="1" x14ac:dyDescent="0.25">
      <c r="A52">
        <v>103</v>
      </c>
      <c r="C52" t="s">
        <v>252</v>
      </c>
      <c r="D52" t="s">
        <v>47</v>
      </c>
      <c r="E52" t="s">
        <v>26</v>
      </c>
      <c r="F52">
        <v>1248.135</v>
      </c>
      <c r="G52">
        <v>1256.7829999999999</v>
      </c>
      <c r="H52" s="3" t="s">
        <v>267</v>
      </c>
      <c r="I52" t="s">
        <v>1932</v>
      </c>
      <c r="J52" t="s">
        <v>1947</v>
      </c>
      <c r="L52" t="s">
        <v>1932</v>
      </c>
      <c r="M52" t="s">
        <v>1932</v>
      </c>
      <c r="N52" t="s">
        <v>1932</v>
      </c>
      <c r="O52" t="s">
        <v>1942</v>
      </c>
      <c r="P52" t="s">
        <v>2095</v>
      </c>
      <c r="Q52">
        <v>4</v>
      </c>
      <c r="T52" t="s">
        <v>268</v>
      </c>
      <c r="U52" t="s">
        <v>268</v>
      </c>
    </row>
    <row r="53" spans="1:30" hidden="1" x14ac:dyDescent="0.25">
      <c r="A53">
        <v>24</v>
      </c>
      <c r="B53" t="s">
        <v>2257</v>
      </c>
      <c r="C53" t="s">
        <v>65</v>
      </c>
      <c r="D53" t="s">
        <v>19</v>
      </c>
      <c r="E53" t="s">
        <v>38</v>
      </c>
      <c r="F53">
        <v>1640.3530000000001</v>
      </c>
      <c r="G53">
        <v>1648.9190000000001</v>
      </c>
      <c r="H53" s="3" t="s">
        <v>79</v>
      </c>
      <c r="I53" t="s">
        <v>1934</v>
      </c>
      <c r="L53" t="s">
        <v>1932</v>
      </c>
      <c r="M53" t="s">
        <v>1932</v>
      </c>
      <c r="N53" t="s">
        <v>1932</v>
      </c>
      <c r="O53" t="s">
        <v>1942</v>
      </c>
      <c r="P53" t="s">
        <v>1932</v>
      </c>
      <c r="Q53">
        <v>2</v>
      </c>
      <c r="T53" t="s">
        <v>2024</v>
      </c>
      <c r="U53" t="s">
        <v>80</v>
      </c>
      <c r="W53" t="s">
        <v>1934</v>
      </c>
      <c r="X53">
        <v>1</v>
      </c>
      <c r="Z53" s="5"/>
      <c r="AA53">
        <v>1</v>
      </c>
      <c r="AC53" s="5"/>
      <c r="AD53">
        <v>1</v>
      </c>
    </row>
    <row r="54" spans="1:30" hidden="1" x14ac:dyDescent="0.25">
      <c r="A54">
        <v>98</v>
      </c>
      <c r="C54" t="s">
        <v>252</v>
      </c>
      <c r="D54" t="s">
        <v>19</v>
      </c>
      <c r="E54" t="s">
        <v>26</v>
      </c>
      <c r="F54">
        <v>1421.9179999999999</v>
      </c>
      <c r="G54">
        <v>1430.327</v>
      </c>
      <c r="H54" s="3" t="s">
        <v>257</v>
      </c>
      <c r="I54" t="s">
        <v>1932</v>
      </c>
      <c r="J54" t="s">
        <v>1947</v>
      </c>
      <c r="U54" t="s">
        <v>258</v>
      </c>
    </row>
    <row r="55" spans="1:30" hidden="1" x14ac:dyDescent="0.25">
      <c r="A55">
        <v>105</v>
      </c>
      <c r="C55" t="s">
        <v>252</v>
      </c>
      <c r="D55" t="s">
        <v>47</v>
      </c>
      <c r="E55" t="s">
        <v>32</v>
      </c>
      <c r="F55">
        <v>2112.81</v>
      </c>
      <c r="G55">
        <v>2121.2089999999998</v>
      </c>
      <c r="H55" t="s">
        <v>271</v>
      </c>
      <c r="I55" t="s">
        <v>1932</v>
      </c>
      <c r="J55" t="s">
        <v>2101</v>
      </c>
      <c r="U55" t="s">
        <v>272</v>
      </c>
    </row>
    <row r="56" spans="1:30" hidden="1" x14ac:dyDescent="0.25">
      <c r="A56">
        <v>109</v>
      </c>
      <c r="C56" t="s">
        <v>252</v>
      </c>
      <c r="D56" t="s">
        <v>47</v>
      </c>
      <c r="E56" t="s">
        <v>44</v>
      </c>
      <c r="F56">
        <v>3088.4639999999999</v>
      </c>
      <c r="G56">
        <v>3096.9520000000002</v>
      </c>
      <c r="H56" s="3" t="s">
        <v>279</v>
      </c>
      <c r="I56" t="s">
        <v>1932</v>
      </c>
      <c r="J56" t="s">
        <v>1941</v>
      </c>
      <c r="U56" t="s">
        <v>280</v>
      </c>
    </row>
    <row r="57" spans="1:30" hidden="1" x14ac:dyDescent="0.25">
      <c r="A57">
        <v>102</v>
      </c>
      <c r="C57" t="s">
        <v>252</v>
      </c>
      <c r="D57" t="s">
        <v>47</v>
      </c>
      <c r="E57" t="s">
        <v>23</v>
      </c>
      <c r="F57">
        <v>1179.8900000000001</v>
      </c>
      <c r="G57">
        <v>1188.422</v>
      </c>
      <c r="H57" t="s">
        <v>265</v>
      </c>
      <c r="I57" t="s">
        <v>1932</v>
      </c>
      <c r="J57" t="s">
        <v>1948</v>
      </c>
      <c r="U57" t="s">
        <v>266</v>
      </c>
    </row>
    <row r="58" spans="1:30" hidden="1" x14ac:dyDescent="0.25">
      <c r="A58">
        <v>20</v>
      </c>
      <c r="C58" t="s">
        <v>65</v>
      </c>
      <c r="D58" t="s">
        <v>19</v>
      </c>
      <c r="E58" t="s">
        <v>26</v>
      </c>
      <c r="F58">
        <v>953.31399999999996</v>
      </c>
      <c r="G58">
        <v>961.86599999999999</v>
      </c>
      <c r="H58" s="3" t="s">
        <v>71</v>
      </c>
      <c r="I58" t="s">
        <v>1934</v>
      </c>
      <c r="L58" t="s">
        <v>1932</v>
      </c>
      <c r="M58" t="s">
        <v>1934</v>
      </c>
      <c r="N58" t="s">
        <v>1932</v>
      </c>
      <c r="O58" t="s">
        <v>1936</v>
      </c>
      <c r="P58" t="s">
        <v>1934</v>
      </c>
      <c r="Q58">
        <v>1</v>
      </c>
      <c r="T58" t="s">
        <v>2010</v>
      </c>
      <c r="U58" t="s">
        <v>72</v>
      </c>
    </row>
    <row r="59" spans="1:30" hidden="1" x14ac:dyDescent="0.25">
      <c r="A59">
        <v>104</v>
      </c>
      <c r="C59" t="s">
        <v>252</v>
      </c>
      <c r="D59" t="s">
        <v>47</v>
      </c>
      <c r="E59" t="s">
        <v>29</v>
      </c>
      <c r="F59">
        <v>1374.579</v>
      </c>
      <c r="G59">
        <v>1382.9880000000001</v>
      </c>
      <c r="H59" t="s">
        <v>269</v>
      </c>
      <c r="I59" t="s">
        <v>1932</v>
      </c>
      <c r="J59" t="s">
        <v>1948</v>
      </c>
      <c r="U59" t="s">
        <v>270</v>
      </c>
    </row>
    <row r="60" spans="1:30" hidden="1" x14ac:dyDescent="0.25">
      <c r="A60">
        <v>106</v>
      </c>
      <c r="C60" t="s">
        <v>252</v>
      </c>
      <c r="D60" t="s">
        <v>47</v>
      </c>
      <c r="E60" t="s">
        <v>35</v>
      </c>
      <c r="F60">
        <v>2119.596</v>
      </c>
      <c r="G60">
        <v>2129.6190000000001</v>
      </c>
      <c r="H60" s="3" t="s">
        <v>273</v>
      </c>
      <c r="I60" t="s">
        <v>1932</v>
      </c>
      <c r="J60" t="s">
        <v>1954</v>
      </c>
      <c r="U60" t="s">
        <v>274</v>
      </c>
    </row>
    <row r="61" spans="1:30" hidden="1" x14ac:dyDescent="0.25">
      <c r="A61">
        <v>107</v>
      </c>
      <c r="C61" t="s">
        <v>252</v>
      </c>
      <c r="D61" t="s">
        <v>47</v>
      </c>
      <c r="E61" t="s">
        <v>38</v>
      </c>
      <c r="F61">
        <v>2122.8710000000001</v>
      </c>
      <c r="G61">
        <v>2131.518</v>
      </c>
      <c r="H61" s="3" t="s">
        <v>275</v>
      </c>
      <c r="I61" t="s">
        <v>1932</v>
      </c>
      <c r="J61" t="s">
        <v>1954</v>
      </c>
      <c r="U61" t="s">
        <v>276</v>
      </c>
    </row>
    <row r="62" spans="1:30" hidden="1" x14ac:dyDescent="0.25">
      <c r="A62">
        <v>108</v>
      </c>
      <c r="C62" t="s">
        <v>252</v>
      </c>
      <c r="D62" t="s">
        <v>47</v>
      </c>
      <c r="E62" t="s">
        <v>41</v>
      </c>
      <c r="F62">
        <v>2132.4670000000001</v>
      </c>
      <c r="G62">
        <v>2141.61</v>
      </c>
      <c r="H62" t="s">
        <v>277</v>
      </c>
      <c r="I62" t="s">
        <v>1932</v>
      </c>
      <c r="J62" t="s">
        <v>1954</v>
      </c>
      <c r="U62" t="s">
        <v>278</v>
      </c>
    </row>
    <row r="63" spans="1:30" hidden="1" x14ac:dyDescent="0.25">
      <c r="A63">
        <v>99</v>
      </c>
      <c r="C63" t="s">
        <v>252</v>
      </c>
      <c r="D63" t="s">
        <v>19</v>
      </c>
      <c r="E63" t="s">
        <v>29</v>
      </c>
      <c r="F63">
        <v>2241.982</v>
      </c>
      <c r="G63">
        <v>2251.098</v>
      </c>
      <c r="H63" s="3" t="s">
        <v>259</v>
      </c>
      <c r="I63" t="s">
        <v>1932</v>
      </c>
      <c r="J63" t="s">
        <v>2101</v>
      </c>
      <c r="U63" t="s">
        <v>260</v>
      </c>
    </row>
    <row r="64" spans="1:30" hidden="1" x14ac:dyDescent="0.25">
      <c r="A64">
        <v>100</v>
      </c>
      <c r="C64" t="s">
        <v>252</v>
      </c>
      <c r="D64" t="s">
        <v>19</v>
      </c>
      <c r="E64" t="s">
        <v>32</v>
      </c>
      <c r="F64">
        <v>2419.5790000000002</v>
      </c>
      <c r="G64">
        <v>2429.85</v>
      </c>
      <c r="H64" s="3" t="s">
        <v>261</v>
      </c>
      <c r="I64" t="s">
        <v>1932</v>
      </c>
      <c r="J64" t="s">
        <v>1947</v>
      </c>
      <c r="U64" t="s">
        <v>262</v>
      </c>
    </row>
    <row r="65" spans="1:31" hidden="1" x14ac:dyDescent="0.25">
      <c r="A65">
        <v>21</v>
      </c>
      <c r="C65" t="s">
        <v>65</v>
      </c>
      <c r="D65" t="s">
        <v>19</v>
      </c>
      <c r="E65" t="s">
        <v>29</v>
      </c>
      <c r="F65">
        <v>1266.3599999999999</v>
      </c>
      <c r="G65">
        <v>1274.989</v>
      </c>
      <c r="H65" s="3" t="s">
        <v>73</v>
      </c>
      <c r="I65" t="s">
        <v>1934</v>
      </c>
      <c r="L65" t="s">
        <v>1932</v>
      </c>
      <c r="M65" t="s">
        <v>1932</v>
      </c>
      <c r="N65" t="s">
        <v>1932</v>
      </c>
      <c r="O65" t="s">
        <v>1936</v>
      </c>
      <c r="P65" t="s">
        <v>1937</v>
      </c>
      <c r="Q65">
        <v>1</v>
      </c>
      <c r="R65" t="s">
        <v>2093</v>
      </c>
      <c r="T65" t="s">
        <v>2015</v>
      </c>
      <c r="U65" t="s">
        <v>74</v>
      </c>
    </row>
    <row r="66" spans="1:31" hidden="1" x14ac:dyDescent="0.25">
      <c r="A66">
        <v>534</v>
      </c>
      <c r="C66" t="s">
        <v>1157</v>
      </c>
      <c r="D66" t="s">
        <v>118</v>
      </c>
      <c r="E66" t="s">
        <v>23</v>
      </c>
      <c r="F66">
        <v>751.66399999999999</v>
      </c>
      <c r="G66">
        <v>760.96299999999997</v>
      </c>
      <c r="H66" s="3" t="s">
        <v>1206</v>
      </c>
      <c r="I66" t="s">
        <v>1932</v>
      </c>
      <c r="J66" t="s">
        <v>2101</v>
      </c>
      <c r="U66" t="s">
        <v>1207</v>
      </c>
      <c r="V66" t="s">
        <v>1160</v>
      </c>
    </row>
    <row r="67" spans="1:31" hidden="1" x14ac:dyDescent="0.25">
      <c r="A67">
        <v>535</v>
      </c>
      <c r="C67" t="s">
        <v>1157</v>
      </c>
      <c r="D67" t="s">
        <v>118</v>
      </c>
      <c r="E67" t="s">
        <v>26</v>
      </c>
      <c r="F67">
        <v>945.66800000000001</v>
      </c>
      <c r="G67">
        <v>954.39099999999996</v>
      </c>
      <c r="H67" s="3" t="s">
        <v>1208</v>
      </c>
      <c r="I67" t="s">
        <v>1932</v>
      </c>
      <c r="J67" t="s">
        <v>2106</v>
      </c>
      <c r="U67" t="s">
        <v>1209</v>
      </c>
      <c r="V67" t="s">
        <v>1210</v>
      </c>
    </row>
    <row r="68" spans="1:31" hidden="1" x14ac:dyDescent="0.25">
      <c r="A68">
        <v>512</v>
      </c>
      <c r="C68" t="s">
        <v>1157</v>
      </c>
      <c r="D68" t="s">
        <v>19</v>
      </c>
      <c r="E68" t="s">
        <v>23</v>
      </c>
      <c r="F68">
        <v>1015.494</v>
      </c>
      <c r="G68">
        <v>1027.136</v>
      </c>
      <c r="H68" s="3" t="s">
        <v>1161</v>
      </c>
      <c r="I68" t="s">
        <v>1932</v>
      </c>
      <c r="J68" t="s">
        <v>2101</v>
      </c>
      <c r="K68">
        <v>852</v>
      </c>
      <c r="U68" t="s">
        <v>1162</v>
      </c>
      <c r="V68" t="s">
        <v>1163</v>
      </c>
    </row>
    <row r="69" spans="1:31" hidden="1" x14ac:dyDescent="0.25">
      <c r="A69">
        <v>536</v>
      </c>
      <c r="C69" t="s">
        <v>1157</v>
      </c>
      <c r="D69" t="s">
        <v>118</v>
      </c>
      <c r="E69" t="s">
        <v>29</v>
      </c>
      <c r="F69">
        <v>1123.3230000000001</v>
      </c>
      <c r="G69">
        <v>1133.1690000000001</v>
      </c>
      <c r="H69" s="3" t="s">
        <v>1211</v>
      </c>
      <c r="I69" t="s">
        <v>1932</v>
      </c>
      <c r="J69" t="s">
        <v>2101</v>
      </c>
      <c r="U69" t="s">
        <v>1212</v>
      </c>
      <c r="V69" t="s">
        <v>1213</v>
      </c>
    </row>
    <row r="70" spans="1:31" hidden="1" x14ac:dyDescent="0.25">
      <c r="A70">
        <v>22</v>
      </c>
      <c r="C70" t="s">
        <v>65</v>
      </c>
      <c r="D70" t="s">
        <v>19</v>
      </c>
      <c r="E70" t="s">
        <v>32</v>
      </c>
      <c r="F70">
        <v>1443.7090000000001</v>
      </c>
      <c r="G70">
        <v>1455.127</v>
      </c>
      <c r="H70" s="3" t="s">
        <v>75</v>
      </c>
      <c r="I70" t="s">
        <v>1934</v>
      </c>
      <c r="J70" t="s">
        <v>1943</v>
      </c>
      <c r="L70" t="s">
        <v>1935</v>
      </c>
      <c r="M70" t="s">
        <v>1932</v>
      </c>
      <c r="N70" t="s">
        <v>1932</v>
      </c>
      <c r="O70" t="s">
        <v>1936</v>
      </c>
      <c r="P70" t="s">
        <v>1934</v>
      </c>
      <c r="Q70">
        <v>1</v>
      </c>
      <c r="T70" t="s">
        <v>2016</v>
      </c>
      <c r="U70" t="s">
        <v>76</v>
      </c>
    </row>
    <row r="71" spans="1:31" hidden="1" x14ac:dyDescent="0.25">
      <c r="A71">
        <v>513</v>
      </c>
      <c r="C71" t="s">
        <v>1157</v>
      </c>
      <c r="D71" t="s">
        <v>19</v>
      </c>
      <c r="E71" t="s">
        <v>26</v>
      </c>
      <c r="F71">
        <v>1200.633</v>
      </c>
      <c r="G71">
        <v>1209.248</v>
      </c>
      <c r="H71" s="3" t="s">
        <v>1164</v>
      </c>
      <c r="I71" t="s">
        <v>1932</v>
      </c>
      <c r="J71" t="s">
        <v>1933</v>
      </c>
      <c r="U71" t="s">
        <v>1165</v>
      </c>
      <c r="V71" t="s">
        <v>355</v>
      </c>
    </row>
    <row r="72" spans="1:31" hidden="1" x14ac:dyDescent="0.25">
      <c r="A72">
        <v>514</v>
      </c>
      <c r="C72" t="s">
        <v>1157</v>
      </c>
      <c r="D72" t="s">
        <v>19</v>
      </c>
      <c r="E72" t="s">
        <v>29</v>
      </c>
      <c r="F72">
        <v>1535.431</v>
      </c>
      <c r="G72">
        <v>1545.9010000000001</v>
      </c>
      <c r="H72" s="3" t="s">
        <v>1166</v>
      </c>
      <c r="I72" t="s">
        <v>1932</v>
      </c>
      <c r="J72" t="s">
        <v>2101</v>
      </c>
      <c r="U72" t="s">
        <v>1167</v>
      </c>
    </row>
    <row r="73" spans="1:31" hidden="1" x14ac:dyDescent="0.25">
      <c r="A73">
        <v>515</v>
      </c>
      <c r="C73" t="s">
        <v>1157</v>
      </c>
      <c r="D73" t="s">
        <v>19</v>
      </c>
      <c r="E73" t="s">
        <v>32</v>
      </c>
      <c r="F73">
        <v>1614.1869999999999</v>
      </c>
      <c r="G73">
        <v>1623.0429999999999</v>
      </c>
      <c r="H73" s="3" t="s">
        <v>1168</v>
      </c>
      <c r="I73" t="s">
        <v>1932</v>
      </c>
      <c r="J73" t="s">
        <v>1933</v>
      </c>
      <c r="U73" t="s">
        <v>1169</v>
      </c>
    </row>
    <row r="74" spans="1:31" hidden="1" x14ac:dyDescent="0.25">
      <c r="A74">
        <v>516</v>
      </c>
      <c r="C74" t="s">
        <v>1157</v>
      </c>
      <c r="D74" t="s">
        <v>19</v>
      </c>
      <c r="E74" t="s">
        <v>35</v>
      </c>
      <c r="F74">
        <v>1710.827</v>
      </c>
      <c r="G74">
        <v>1722.2239999999999</v>
      </c>
      <c r="H74" s="3" t="s">
        <v>1170</v>
      </c>
      <c r="I74" t="s">
        <v>1932</v>
      </c>
      <c r="J74" t="s">
        <v>1952</v>
      </c>
      <c r="U74" t="s">
        <v>1171</v>
      </c>
    </row>
    <row r="75" spans="1:31" hidden="1" x14ac:dyDescent="0.25">
      <c r="A75">
        <v>517</v>
      </c>
      <c r="C75" t="s">
        <v>1157</v>
      </c>
      <c r="D75" t="s">
        <v>19</v>
      </c>
      <c r="E75" t="s">
        <v>38</v>
      </c>
      <c r="F75">
        <v>1836.7059999999999</v>
      </c>
      <c r="G75">
        <v>1846.925</v>
      </c>
      <c r="H75" s="3" t="s">
        <v>1172</v>
      </c>
      <c r="I75" t="s">
        <v>1932</v>
      </c>
      <c r="J75" t="s">
        <v>1948</v>
      </c>
      <c r="U75" t="s">
        <v>1173</v>
      </c>
    </row>
    <row r="76" spans="1:31" hidden="1" x14ac:dyDescent="0.25">
      <c r="A76">
        <v>19</v>
      </c>
      <c r="B76" t="s">
        <v>2241</v>
      </c>
      <c r="C76" t="s">
        <v>65</v>
      </c>
      <c r="D76" t="s">
        <v>19</v>
      </c>
      <c r="E76" t="s">
        <v>23</v>
      </c>
      <c r="F76">
        <v>308.27999999999997</v>
      </c>
      <c r="G76">
        <v>316.67700000000002</v>
      </c>
      <c r="H76" s="3" t="s">
        <v>69</v>
      </c>
      <c r="I76" t="s">
        <v>1934</v>
      </c>
      <c r="L76" t="s">
        <v>1932</v>
      </c>
      <c r="M76" t="s">
        <v>1932</v>
      </c>
      <c r="N76" t="s">
        <v>1932</v>
      </c>
      <c r="O76" t="s">
        <v>1936</v>
      </c>
      <c r="P76" t="s">
        <v>1934</v>
      </c>
      <c r="Q76">
        <v>1</v>
      </c>
      <c r="T76" t="s">
        <v>2003</v>
      </c>
      <c r="U76" t="s">
        <v>70</v>
      </c>
      <c r="W76" t="s">
        <v>1934</v>
      </c>
      <c r="X76">
        <v>1</v>
      </c>
      <c r="Z76" s="5"/>
      <c r="AA76">
        <v>1</v>
      </c>
      <c r="AC76" s="5"/>
      <c r="AD76">
        <v>2</v>
      </c>
      <c r="AE76" t="s">
        <v>2328</v>
      </c>
    </row>
    <row r="77" spans="1:31" hidden="1" x14ac:dyDescent="0.25">
      <c r="A77">
        <v>537</v>
      </c>
      <c r="C77" t="s">
        <v>1157</v>
      </c>
      <c r="D77" t="s">
        <v>118</v>
      </c>
      <c r="E77" t="s">
        <v>32</v>
      </c>
      <c r="F77">
        <v>1846.6590000000001</v>
      </c>
      <c r="G77">
        <v>1855.5630000000001</v>
      </c>
      <c r="H77" s="3" t="s">
        <v>1214</v>
      </c>
      <c r="I77" t="s">
        <v>1932</v>
      </c>
      <c r="J77" t="s">
        <v>2101</v>
      </c>
      <c r="K77">
        <v>518</v>
      </c>
      <c r="U77" t="s">
        <v>1215</v>
      </c>
    </row>
    <row r="78" spans="1:31" hidden="1" x14ac:dyDescent="0.25">
      <c r="A78">
        <v>518</v>
      </c>
      <c r="C78" t="s">
        <v>1157</v>
      </c>
      <c r="D78" t="s">
        <v>19</v>
      </c>
      <c r="E78" t="s">
        <v>41</v>
      </c>
      <c r="F78">
        <v>1848.441</v>
      </c>
      <c r="G78">
        <v>1858.384</v>
      </c>
      <c r="H78" s="3" t="s">
        <v>1174</v>
      </c>
      <c r="I78" t="s">
        <v>1932</v>
      </c>
      <c r="J78" t="s">
        <v>2101</v>
      </c>
      <c r="K78">
        <v>537</v>
      </c>
      <c r="U78" t="s">
        <v>1175</v>
      </c>
    </row>
    <row r="79" spans="1:31" hidden="1" x14ac:dyDescent="0.25">
      <c r="A79">
        <v>519</v>
      </c>
      <c r="C79" t="s">
        <v>1157</v>
      </c>
      <c r="D79" t="s">
        <v>19</v>
      </c>
      <c r="E79" t="s">
        <v>44</v>
      </c>
      <c r="F79">
        <v>1945.463</v>
      </c>
      <c r="G79">
        <v>1955.7670000000001</v>
      </c>
      <c r="H79" s="3" t="s">
        <v>1176</v>
      </c>
      <c r="I79" t="s">
        <v>1932</v>
      </c>
      <c r="J79" t="s">
        <v>1952</v>
      </c>
      <c r="U79" t="s">
        <v>1177</v>
      </c>
    </row>
    <row r="80" spans="1:31" hidden="1" x14ac:dyDescent="0.25">
      <c r="A80">
        <v>520</v>
      </c>
      <c r="C80" t="s">
        <v>1157</v>
      </c>
      <c r="D80" t="s">
        <v>19</v>
      </c>
      <c r="E80" t="s">
        <v>85</v>
      </c>
      <c r="F80">
        <v>2127.7779999999998</v>
      </c>
      <c r="G80">
        <v>2139.4110000000001</v>
      </c>
      <c r="H80" s="3" t="s">
        <v>1178</v>
      </c>
      <c r="I80" t="s">
        <v>1932</v>
      </c>
      <c r="J80" t="s">
        <v>1940</v>
      </c>
      <c r="U80" t="s">
        <v>1179</v>
      </c>
    </row>
    <row r="81" spans="1:21" hidden="1" x14ac:dyDescent="0.25">
      <c r="A81">
        <v>521</v>
      </c>
      <c r="C81" t="s">
        <v>1157</v>
      </c>
      <c r="D81" t="s">
        <v>19</v>
      </c>
      <c r="E81" t="s">
        <v>88</v>
      </c>
      <c r="F81">
        <v>2160.2289999999998</v>
      </c>
      <c r="G81">
        <v>2170.2080000000001</v>
      </c>
      <c r="H81" s="3" t="s">
        <v>1180</v>
      </c>
      <c r="I81" t="s">
        <v>1932</v>
      </c>
      <c r="J81" t="s">
        <v>1952</v>
      </c>
      <c r="U81" t="s">
        <v>1181</v>
      </c>
    </row>
    <row r="82" spans="1:21" hidden="1" x14ac:dyDescent="0.25">
      <c r="A82">
        <v>538</v>
      </c>
      <c r="C82" t="s">
        <v>1157</v>
      </c>
      <c r="D82" t="s">
        <v>118</v>
      </c>
      <c r="E82" t="s">
        <v>35</v>
      </c>
      <c r="F82">
        <v>2226.4430000000002</v>
      </c>
      <c r="G82">
        <v>2234.8870000000002</v>
      </c>
      <c r="H82" s="3" t="s">
        <v>1216</v>
      </c>
      <c r="I82" t="s">
        <v>1932</v>
      </c>
      <c r="J82" t="s">
        <v>1952</v>
      </c>
      <c r="K82">
        <v>539</v>
      </c>
      <c r="U82" t="s">
        <v>1217</v>
      </c>
    </row>
    <row r="83" spans="1:21" hidden="1" x14ac:dyDescent="0.25">
      <c r="A83">
        <v>25</v>
      </c>
      <c r="C83" t="s">
        <v>65</v>
      </c>
      <c r="D83" t="s">
        <v>19</v>
      </c>
      <c r="E83" t="s">
        <v>41</v>
      </c>
      <c r="F83">
        <v>1666.2840000000001</v>
      </c>
      <c r="G83">
        <v>1675.383</v>
      </c>
      <c r="H83" s="3" t="s">
        <v>81</v>
      </c>
      <c r="I83" t="s">
        <v>1934</v>
      </c>
      <c r="J83" t="s">
        <v>2026</v>
      </c>
      <c r="L83" t="s">
        <v>1932</v>
      </c>
      <c r="M83" t="s">
        <v>1932</v>
      </c>
      <c r="N83" t="s">
        <v>1932</v>
      </c>
      <c r="O83" t="s">
        <v>1936</v>
      </c>
      <c r="P83" t="s">
        <v>1934</v>
      </c>
      <c r="Q83">
        <v>1</v>
      </c>
      <c r="T83" t="s">
        <v>2025</v>
      </c>
      <c r="U83" t="s">
        <v>82</v>
      </c>
    </row>
    <row r="84" spans="1:21" hidden="1" x14ac:dyDescent="0.25">
      <c r="A84">
        <v>539</v>
      </c>
      <c r="C84" t="s">
        <v>1157</v>
      </c>
      <c r="D84" t="s">
        <v>118</v>
      </c>
      <c r="E84" t="s">
        <v>38</v>
      </c>
      <c r="F84">
        <v>2229.3710000000001</v>
      </c>
      <c r="G84">
        <v>2237.9479999999999</v>
      </c>
      <c r="H84" s="3" t="s">
        <v>1218</v>
      </c>
      <c r="I84" t="s">
        <v>1932</v>
      </c>
      <c r="J84" t="s">
        <v>1954</v>
      </c>
      <c r="K84">
        <v>538</v>
      </c>
      <c r="U84" t="s">
        <v>1219</v>
      </c>
    </row>
    <row r="85" spans="1:21" hidden="1" x14ac:dyDescent="0.25">
      <c r="A85">
        <v>522</v>
      </c>
      <c r="C85" t="s">
        <v>1157</v>
      </c>
      <c r="D85" t="s">
        <v>19</v>
      </c>
      <c r="E85" t="s">
        <v>91</v>
      </c>
      <c r="F85">
        <v>2237.3049999999998</v>
      </c>
      <c r="G85">
        <v>2246.1559999999999</v>
      </c>
      <c r="H85" s="3" t="s">
        <v>1182</v>
      </c>
      <c r="I85" t="s">
        <v>1932</v>
      </c>
      <c r="J85" t="s">
        <v>2106</v>
      </c>
      <c r="U85" t="s">
        <v>1183</v>
      </c>
    </row>
    <row r="86" spans="1:21" hidden="1" x14ac:dyDescent="0.25">
      <c r="A86">
        <v>540</v>
      </c>
      <c r="C86" t="s">
        <v>1157</v>
      </c>
      <c r="D86" t="s">
        <v>118</v>
      </c>
      <c r="E86" t="s">
        <v>41</v>
      </c>
      <c r="F86">
        <v>2337.9140000000002</v>
      </c>
      <c r="G86">
        <v>2348.2950000000001</v>
      </c>
      <c r="H86" s="3" t="s">
        <v>1220</v>
      </c>
      <c r="I86" t="s">
        <v>1932</v>
      </c>
      <c r="J86" t="s">
        <v>1948</v>
      </c>
      <c r="U86" t="s">
        <v>1221</v>
      </c>
    </row>
    <row r="87" spans="1:21" hidden="1" x14ac:dyDescent="0.25">
      <c r="A87">
        <v>523</v>
      </c>
      <c r="C87" t="s">
        <v>1157</v>
      </c>
      <c r="D87" t="s">
        <v>19</v>
      </c>
      <c r="E87" t="s">
        <v>94</v>
      </c>
      <c r="F87">
        <v>2420.3310000000001</v>
      </c>
      <c r="G87">
        <v>2428.8290000000002</v>
      </c>
      <c r="H87" s="3" t="s">
        <v>1184</v>
      </c>
      <c r="I87" t="s">
        <v>1932</v>
      </c>
      <c r="J87" t="s">
        <v>1948</v>
      </c>
      <c r="U87" t="s">
        <v>1185</v>
      </c>
    </row>
    <row r="88" spans="1:21" hidden="1" x14ac:dyDescent="0.25">
      <c r="A88">
        <v>524</v>
      </c>
      <c r="C88" t="s">
        <v>1157</v>
      </c>
      <c r="D88" t="s">
        <v>19</v>
      </c>
      <c r="E88" t="s">
        <v>97</v>
      </c>
      <c r="F88">
        <v>2531.3139999999999</v>
      </c>
      <c r="G88">
        <v>2541.7710000000002</v>
      </c>
      <c r="H88" s="3" t="s">
        <v>1186</v>
      </c>
      <c r="I88" t="s">
        <v>1932</v>
      </c>
      <c r="J88" t="s">
        <v>1933</v>
      </c>
      <c r="U88" t="s">
        <v>1187</v>
      </c>
    </row>
    <row r="89" spans="1:21" hidden="1" x14ac:dyDescent="0.25">
      <c r="A89">
        <v>525</v>
      </c>
      <c r="C89" t="s">
        <v>1157</v>
      </c>
      <c r="D89" t="s">
        <v>19</v>
      </c>
      <c r="E89" t="s">
        <v>100</v>
      </c>
      <c r="F89">
        <v>2586.4879999999998</v>
      </c>
      <c r="G89">
        <v>2597.1320000000001</v>
      </c>
      <c r="H89" s="3" t="s">
        <v>1188</v>
      </c>
      <c r="I89" t="s">
        <v>1932</v>
      </c>
      <c r="J89" t="s">
        <v>2101</v>
      </c>
      <c r="U89" t="s">
        <v>1189</v>
      </c>
    </row>
    <row r="90" spans="1:21" hidden="1" x14ac:dyDescent="0.25">
      <c r="A90">
        <v>526</v>
      </c>
      <c r="C90" t="s">
        <v>1157</v>
      </c>
      <c r="D90" t="s">
        <v>19</v>
      </c>
      <c r="E90" t="s">
        <v>103</v>
      </c>
      <c r="F90">
        <v>2683.53</v>
      </c>
      <c r="G90">
        <v>2694.7919999999999</v>
      </c>
      <c r="H90" s="3" t="s">
        <v>1190</v>
      </c>
      <c r="I90" t="s">
        <v>1932</v>
      </c>
      <c r="J90" t="s">
        <v>1952</v>
      </c>
      <c r="U90" t="s">
        <v>1191</v>
      </c>
    </row>
    <row r="91" spans="1:21" hidden="1" x14ac:dyDescent="0.25">
      <c r="A91">
        <v>527</v>
      </c>
      <c r="C91" t="s">
        <v>1157</v>
      </c>
      <c r="D91" t="s">
        <v>19</v>
      </c>
      <c r="E91" t="s">
        <v>106</v>
      </c>
      <c r="F91">
        <v>2691.953</v>
      </c>
      <c r="G91">
        <v>2700.81</v>
      </c>
      <c r="H91" s="3" t="s">
        <v>1192</v>
      </c>
      <c r="I91" t="s">
        <v>1932</v>
      </c>
      <c r="J91" t="s">
        <v>1933</v>
      </c>
      <c r="U91" t="s">
        <v>1193</v>
      </c>
    </row>
    <row r="92" spans="1:21" hidden="1" x14ac:dyDescent="0.25">
      <c r="A92">
        <v>528</v>
      </c>
      <c r="C92" t="s">
        <v>1157</v>
      </c>
      <c r="D92" t="s">
        <v>19</v>
      </c>
      <c r="E92" t="s">
        <v>109</v>
      </c>
      <c r="F92">
        <v>2728.33</v>
      </c>
      <c r="G92">
        <v>2738.2060000000001</v>
      </c>
      <c r="H92" s="3" t="s">
        <v>1194</v>
      </c>
      <c r="I92" t="s">
        <v>1932</v>
      </c>
      <c r="J92" t="s">
        <v>1957</v>
      </c>
      <c r="U92" t="s">
        <v>1195</v>
      </c>
    </row>
    <row r="93" spans="1:21" hidden="1" x14ac:dyDescent="0.25">
      <c r="A93">
        <v>541</v>
      </c>
      <c r="C93" t="s">
        <v>1157</v>
      </c>
      <c r="D93" t="s">
        <v>118</v>
      </c>
      <c r="E93" t="s">
        <v>44</v>
      </c>
      <c r="F93">
        <v>2734.386</v>
      </c>
      <c r="G93">
        <v>2743.4349999999999</v>
      </c>
      <c r="H93" s="3" t="s">
        <v>1222</v>
      </c>
      <c r="I93" t="s">
        <v>1932</v>
      </c>
      <c r="J93" t="s">
        <v>1933</v>
      </c>
      <c r="U93" t="s">
        <v>1223</v>
      </c>
    </row>
    <row r="94" spans="1:21" hidden="1" x14ac:dyDescent="0.25">
      <c r="A94">
        <v>26</v>
      </c>
      <c r="C94" t="s">
        <v>65</v>
      </c>
      <c r="D94" t="s">
        <v>19</v>
      </c>
      <c r="E94" t="s">
        <v>44</v>
      </c>
      <c r="F94">
        <v>1683.5060000000001</v>
      </c>
      <c r="G94">
        <v>1692.2280000000001</v>
      </c>
      <c r="H94" s="3" t="s">
        <v>83</v>
      </c>
      <c r="I94" t="s">
        <v>1934</v>
      </c>
      <c r="J94" t="s">
        <v>1938</v>
      </c>
      <c r="L94" t="s">
        <v>1932</v>
      </c>
      <c r="M94" t="s">
        <v>1932</v>
      </c>
      <c r="N94" t="s">
        <v>1932</v>
      </c>
      <c r="O94" t="s">
        <v>1936</v>
      </c>
      <c r="P94" t="s">
        <v>1934</v>
      </c>
      <c r="Q94">
        <v>1</v>
      </c>
      <c r="T94" t="s">
        <v>2028</v>
      </c>
      <c r="U94" t="s">
        <v>84</v>
      </c>
    </row>
    <row r="95" spans="1:21" hidden="1" x14ac:dyDescent="0.25">
      <c r="A95">
        <v>542</v>
      </c>
      <c r="C95" t="s">
        <v>1157</v>
      </c>
      <c r="D95" t="s">
        <v>118</v>
      </c>
      <c r="E95" t="s">
        <v>85</v>
      </c>
      <c r="F95">
        <v>2789.3739999999998</v>
      </c>
      <c r="G95">
        <v>2798.415</v>
      </c>
      <c r="H95" s="3" t="s">
        <v>1224</v>
      </c>
      <c r="I95" t="s">
        <v>1932</v>
      </c>
      <c r="J95" t="s">
        <v>1948</v>
      </c>
      <c r="K95">
        <v>529</v>
      </c>
      <c r="U95" t="s">
        <v>1225</v>
      </c>
    </row>
    <row r="96" spans="1:21" hidden="1" x14ac:dyDescent="0.25">
      <c r="A96">
        <v>529</v>
      </c>
      <c r="C96" t="s">
        <v>1157</v>
      </c>
      <c r="D96" t="s">
        <v>19</v>
      </c>
      <c r="E96" t="s">
        <v>112</v>
      </c>
      <c r="F96">
        <v>2791.5010000000002</v>
      </c>
      <c r="G96">
        <v>2801.317</v>
      </c>
      <c r="H96" s="3" t="s">
        <v>1196</v>
      </c>
      <c r="I96" t="s">
        <v>1932</v>
      </c>
      <c r="J96" t="s">
        <v>1954</v>
      </c>
      <c r="K96">
        <v>542</v>
      </c>
      <c r="U96" t="s">
        <v>1197</v>
      </c>
    </row>
    <row r="97" spans="1:22" hidden="1" x14ac:dyDescent="0.25">
      <c r="A97">
        <v>27</v>
      </c>
      <c r="C97" t="s">
        <v>65</v>
      </c>
      <c r="D97" t="s">
        <v>19</v>
      </c>
      <c r="E97" t="s">
        <v>85</v>
      </c>
      <c r="F97">
        <v>1990.107</v>
      </c>
      <c r="G97">
        <v>2000.098</v>
      </c>
      <c r="H97" s="3" t="s">
        <v>86</v>
      </c>
      <c r="I97" t="s">
        <v>1934</v>
      </c>
      <c r="L97" t="s">
        <v>1932</v>
      </c>
      <c r="M97" t="s">
        <v>1932</v>
      </c>
      <c r="N97" t="s">
        <v>1932</v>
      </c>
      <c r="O97" t="s">
        <v>1936</v>
      </c>
      <c r="P97" t="s">
        <v>1934</v>
      </c>
      <c r="Q97">
        <v>1</v>
      </c>
      <c r="T97" t="s">
        <v>2032</v>
      </c>
      <c r="U97" t="s">
        <v>87</v>
      </c>
    </row>
    <row r="98" spans="1:22" hidden="1" x14ac:dyDescent="0.25">
      <c r="A98">
        <v>543</v>
      </c>
      <c r="C98" t="s">
        <v>1157</v>
      </c>
      <c r="D98" t="s">
        <v>118</v>
      </c>
      <c r="E98" t="s">
        <v>88</v>
      </c>
      <c r="F98">
        <v>2812.3040000000001</v>
      </c>
      <c r="G98">
        <v>2821.5259999999998</v>
      </c>
      <c r="H98" s="3" t="s">
        <v>1226</v>
      </c>
      <c r="I98" t="s">
        <v>1932</v>
      </c>
      <c r="J98" t="s">
        <v>1952</v>
      </c>
      <c r="U98" t="s">
        <v>1227</v>
      </c>
    </row>
    <row r="99" spans="1:22" hidden="1" x14ac:dyDescent="0.25">
      <c r="A99">
        <v>544</v>
      </c>
      <c r="C99" t="s">
        <v>1157</v>
      </c>
      <c r="D99" t="s">
        <v>118</v>
      </c>
      <c r="E99" t="s">
        <v>91</v>
      </c>
      <c r="F99">
        <v>2973.9259999999999</v>
      </c>
      <c r="G99">
        <v>2983.1149999999998</v>
      </c>
      <c r="H99" s="3" t="s">
        <v>1228</v>
      </c>
      <c r="I99" t="s">
        <v>1932</v>
      </c>
      <c r="J99" t="s">
        <v>1948</v>
      </c>
      <c r="U99" t="s">
        <v>1229</v>
      </c>
    </row>
    <row r="100" spans="1:22" hidden="1" x14ac:dyDescent="0.25">
      <c r="A100">
        <v>530</v>
      </c>
      <c r="C100" t="s">
        <v>1157</v>
      </c>
      <c r="D100" t="s">
        <v>19</v>
      </c>
      <c r="E100" t="s">
        <v>115</v>
      </c>
      <c r="F100">
        <v>3117.4589999999998</v>
      </c>
      <c r="G100">
        <v>3125.9609999999998</v>
      </c>
      <c r="H100" s="3" t="s">
        <v>1198</v>
      </c>
      <c r="I100" t="s">
        <v>1932</v>
      </c>
      <c r="J100" t="s">
        <v>1933</v>
      </c>
      <c r="U100" t="s">
        <v>1199</v>
      </c>
    </row>
    <row r="101" spans="1:22" hidden="1" x14ac:dyDescent="0.25">
      <c r="A101">
        <v>545</v>
      </c>
      <c r="C101" t="s">
        <v>1157</v>
      </c>
      <c r="D101" t="s">
        <v>118</v>
      </c>
      <c r="E101" t="s">
        <v>94</v>
      </c>
      <c r="F101">
        <v>3127.703</v>
      </c>
      <c r="G101">
        <v>3138.7469999999998</v>
      </c>
      <c r="H101" s="3" t="s">
        <v>1230</v>
      </c>
      <c r="I101" t="s">
        <v>1932</v>
      </c>
      <c r="J101" t="s">
        <v>2125</v>
      </c>
      <c r="U101" t="s">
        <v>1231</v>
      </c>
    </row>
    <row r="102" spans="1:22" hidden="1" x14ac:dyDescent="0.25">
      <c r="A102">
        <v>531</v>
      </c>
      <c r="C102" t="s">
        <v>1157</v>
      </c>
      <c r="D102" t="s">
        <v>19</v>
      </c>
      <c r="E102" t="s">
        <v>178</v>
      </c>
      <c r="F102">
        <v>3173.192</v>
      </c>
      <c r="G102">
        <v>3183.6419999999998</v>
      </c>
      <c r="H102" s="3" t="s">
        <v>1200</v>
      </c>
      <c r="I102" t="s">
        <v>1932</v>
      </c>
      <c r="J102" t="s">
        <v>1946</v>
      </c>
      <c r="U102" t="s">
        <v>1201</v>
      </c>
    </row>
    <row r="103" spans="1:22" hidden="1" x14ac:dyDescent="0.25">
      <c r="A103">
        <v>546</v>
      </c>
      <c r="C103" t="s">
        <v>1157</v>
      </c>
      <c r="D103" t="s">
        <v>118</v>
      </c>
      <c r="E103" t="s">
        <v>97</v>
      </c>
      <c r="F103">
        <v>3587.3679999999999</v>
      </c>
      <c r="G103">
        <v>3597.7559999999999</v>
      </c>
      <c r="H103" s="3" t="s">
        <v>1232</v>
      </c>
      <c r="I103" t="s">
        <v>1932</v>
      </c>
      <c r="J103" t="s">
        <v>2101</v>
      </c>
      <c r="U103" t="s">
        <v>1233</v>
      </c>
    </row>
    <row r="104" spans="1:22" hidden="1" x14ac:dyDescent="0.25">
      <c r="A104">
        <v>33</v>
      </c>
      <c r="C104" t="s">
        <v>65</v>
      </c>
      <c r="D104" t="s">
        <v>19</v>
      </c>
      <c r="E104" t="s">
        <v>103</v>
      </c>
      <c r="F104">
        <v>3161.6860000000001</v>
      </c>
      <c r="G104">
        <v>3171.395</v>
      </c>
      <c r="H104" s="3" t="s">
        <v>104</v>
      </c>
      <c r="I104" t="s">
        <v>1934</v>
      </c>
      <c r="L104" t="s">
        <v>1965</v>
      </c>
      <c r="M104" t="s">
        <v>1932</v>
      </c>
      <c r="N104" t="s">
        <v>1932</v>
      </c>
      <c r="O104" t="s">
        <v>2023</v>
      </c>
      <c r="P104" t="s">
        <v>1937</v>
      </c>
      <c r="R104" t="s">
        <v>2093</v>
      </c>
      <c r="S104" t="s">
        <v>2039</v>
      </c>
      <c r="T104" t="s">
        <v>2038</v>
      </c>
      <c r="U104" t="s">
        <v>105</v>
      </c>
    </row>
    <row r="105" spans="1:22" hidden="1" x14ac:dyDescent="0.25">
      <c r="A105">
        <v>532</v>
      </c>
      <c r="C105" t="s">
        <v>1157</v>
      </c>
      <c r="D105" t="s">
        <v>19</v>
      </c>
      <c r="E105" t="s">
        <v>181</v>
      </c>
      <c r="F105">
        <v>3672.6759999999999</v>
      </c>
      <c r="G105">
        <v>3681.7669999999998</v>
      </c>
      <c r="H105" s="3" t="s">
        <v>1202</v>
      </c>
      <c r="I105" t="s">
        <v>1932</v>
      </c>
      <c r="J105" t="s">
        <v>1954</v>
      </c>
      <c r="U105" t="s">
        <v>1203</v>
      </c>
    </row>
    <row r="106" spans="1:22" hidden="1" x14ac:dyDescent="0.25">
      <c r="A106">
        <v>147</v>
      </c>
      <c r="C106" t="s">
        <v>352</v>
      </c>
      <c r="D106" t="s">
        <v>19</v>
      </c>
      <c r="E106" t="s">
        <v>26</v>
      </c>
      <c r="F106">
        <v>740.21100000000001</v>
      </c>
      <c r="G106">
        <v>753.17499999999995</v>
      </c>
      <c r="H106" s="3" t="s">
        <v>358</v>
      </c>
      <c r="I106" t="s">
        <v>1932</v>
      </c>
      <c r="J106" t="s">
        <v>2080</v>
      </c>
      <c r="U106" t="s">
        <v>359</v>
      </c>
      <c r="V106" t="s">
        <v>355</v>
      </c>
    </row>
    <row r="107" spans="1:22" hidden="1" x14ac:dyDescent="0.25">
      <c r="A107">
        <v>154</v>
      </c>
      <c r="C107" t="s">
        <v>352</v>
      </c>
      <c r="D107" t="s">
        <v>19</v>
      </c>
      <c r="E107" t="s">
        <v>85</v>
      </c>
      <c r="F107">
        <v>2681.674</v>
      </c>
      <c r="G107">
        <v>2692.9760000000001</v>
      </c>
      <c r="H107" s="3" t="s">
        <v>373</v>
      </c>
      <c r="I107" t="s">
        <v>1932</v>
      </c>
      <c r="J107" t="s">
        <v>1943</v>
      </c>
      <c r="U107" t="s">
        <v>374</v>
      </c>
    </row>
    <row r="108" spans="1:22" hidden="1" x14ac:dyDescent="0.25">
      <c r="A108">
        <v>155</v>
      </c>
      <c r="C108" t="s">
        <v>352</v>
      </c>
      <c r="D108" t="s">
        <v>19</v>
      </c>
      <c r="E108" t="s">
        <v>88</v>
      </c>
      <c r="F108">
        <v>3379.3249999999998</v>
      </c>
      <c r="G108">
        <v>3390.1680000000001</v>
      </c>
      <c r="H108" s="3" t="s">
        <v>375</v>
      </c>
      <c r="I108" t="s">
        <v>1932</v>
      </c>
      <c r="J108" t="s">
        <v>2125</v>
      </c>
      <c r="U108" t="s">
        <v>376</v>
      </c>
    </row>
    <row r="109" spans="1:22" hidden="1" x14ac:dyDescent="0.25">
      <c r="A109">
        <v>157</v>
      </c>
      <c r="C109" t="s">
        <v>352</v>
      </c>
      <c r="D109" t="s">
        <v>47</v>
      </c>
      <c r="E109" t="s">
        <v>20</v>
      </c>
      <c r="F109">
        <v>582.53700000000003</v>
      </c>
      <c r="G109">
        <v>591.82899999999995</v>
      </c>
      <c r="H109" s="3" t="s">
        <v>379</v>
      </c>
      <c r="I109" t="s">
        <v>1932</v>
      </c>
      <c r="J109" t="s">
        <v>1948</v>
      </c>
      <c r="U109" t="s">
        <v>380</v>
      </c>
      <c r="V109" t="s">
        <v>355</v>
      </c>
    </row>
    <row r="110" spans="1:22" hidden="1" x14ac:dyDescent="0.25">
      <c r="A110">
        <v>146</v>
      </c>
      <c r="C110" t="s">
        <v>352</v>
      </c>
      <c r="D110" t="s">
        <v>19</v>
      </c>
      <c r="E110" t="s">
        <v>23</v>
      </c>
      <c r="F110">
        <v>679.23299999999995</v>
      </c>
      <c r="G110">
        <v>690.08699999999999</v>
      </c>
      <c r="H110" s="3" t="s">
        <v>356</v>
      </c>
      <c r="I110" t="s">
        <v>1932</v>
      </c>
      <c r="J110" t="s">
        <v>1947</v>
      </c>
      <c r="U110" t="s">
        <v>357</v>
      </c>
      <c r="V110" t="s">
        <v>355</v>
      </c>
    </row>
    <row r="111" spans="1:22" hidden="1" x14ac:dyDescent="0.25">
      <c r="A111">
        <v>148</v>
      </c>
      <c r="C111" t="s">
        <v>352</v>
      </c>
      <c r="D111" t="s">
        <v>19</v>
      </c>
      <c r="E111" t="s">
        <v>29</v>
      </c>
      <c r="F111">
        <v>1063.7360000000001</v>
      </c>
      <c r="G111">
        <v>1073.317</v>
      </c>
      <c r="H111" s="3" t="s">
        <v>360</v>
      </c>
      <c r="I111" t="s">
        <v>1932</v>
      </c>
      <c r="J111" t="s">
        <v>1952</v>
      </c>
      <c r="U111" t="s">
        <v>361</v>
      </c>
      <c r="V111" t="s">
        <v>362</v>
      </c>
    </row>
    <row r="112" spans="1:22" hidden="1" x14ac:dyDescent="0.25">
      <c r="A112">
        <v>149</v>
      </c>
      <c r="C112" t="s">
        <v>352</v>
      </c>
      <c r="D112" t="s">
        <v>19</v>
      </c>
      <c r="E112" t="s">
        <v>32</v>
      </c>
      <c r="F112">
        <v>1341.836</v>
      </c>
      <c r="G112">
        <v>1352.306</v>
      </c>
      <c r="H112" s="3" t="s">
        <v>363</v>
      </c>
      <c r="I112" t="s">
        <v>1932</v>
      </c>
      <c r="J112" t="s">
        <v>1940</v>
      </c>
      <c r="U112" t="s">
        <v>364</v>
      </c>
    </row>
    <row r="113" spans="1:22" hidden="1" x14ac:dyDescent="0.25">
      <c r="A113">
        <v>150</v>
      </c>
      <c r="C113" t="s">
        <v>352</v>
      </c>
      <c r="D113" t="s">
        <v>19</v>
      </c>
      <c r="E113" t="s">
        <v>35</v>
      </c>
      <c r="F113">
        <v>1817.675</v>
      </c>
      <c r="G113">
        <v>1829.5419999999999</v>
      </c>
      <c r="H113" s="3" t="s">
        <v>365</v>
      </c>
      <c r="I113" t="s">
        <v>1932</v>
      </c>
      <c r="J113" t="s">
        <v>1957</v>
      </c>
      <c r="U113" t="s">
        <v>366</v>
      </c>
    </row>
    <row r="114" spans="1:22" hidden="1" x14ac:dyDescent="0.25">
      <c r="A114">
        <v>151</v>
      </c>
      <c r="C114" t="s">
        <v>352</v>
      </c>
      <c r="D114" t="s">
        <v>19</v>
      </c>
      <c r="E114" t="s">
        <v>38</v>
      </c>
      <c r="F114">
        <v>2159.596</v>
      </c>
      <c r="G114">
        <v>2169.6289999999999</v>
      </c>
      <c r="H114" s="3" t="s">
        <v>367</v>
      </c>
      <c r="I114" t="s">
        <v>1932</v>
      </c>
      <c r="J114" t="s">
        <v>2102</v>
      </c>
      <c r="U114" t="s">
        <v>368</v>
      </c>
    </row>
    <row r="115" spans="1:22" hidden="1" x14ac:dyDescent="0.25">
      <c r="A115">
        <v>158</v>
      </c>
      <c r="C115" t="s">
        <v>352</v>
      </c>
      <c r="D115" t="s">
        <v>47</v>
      </c>
      <c r="E115" t="s">
        <v>23</v>
      </c>
      <c r="F115">
        <v>2270.0540000000001</v>
      </c>
      <c r="G115">
        <v>2281.52</v>
      </c>
      <c r="H115" s="3" t="s">
        <v>381</v>
      </c>
      <c r="I115" t="s">
        <v>1932</v>
      </c>
      <c r="J115" t="s">
        <v>1947</v>
      </c>
      <c r="U115" t="s">
        <v>382</v>
      </c>
    </row>
    <row r="116" spans="1:22" hidden="1" x14ac:dyDescent="0.25">
      <c r="A116">
        <v>152</v>
      </c>
      <c r="C116" t="s">
        <v>352</v>
      </c>
      <c r="D116" t="s">
        <v>19</v>
      </c>
      <c r="E116" t="s">
        <v>41</v>
      </c>
      <c r="F116">
        <v>2351.89</v>
      </c>
      <c r="G116">
        <v>2363.1999999999998</v>
      </c>
      <c r="H116" s="3" t="s">
        <v>369</v>
      </c>
      <c r="I116" t="s">
        <v>1932</v>
      </c>
      <c r="J116" t="s">
        <v>2102</v>
      </c>
      <c r="U116" t="s">
        <v>370</v>
      </c>
    </row>
    <row r="117" spans="1:22" hidden="1" x14ac:dyDescent="0.25">
      <c r="A117">
        <v>153</v>
      </c>
      <c r="C117" t="s">
        <v>352</v>
      </c>
      <c r="D117" t="s">
        <v>19</v>
      </c>
      <c r="E117" t="s">
        <v>44</v>
      </c>
      <c r="F117">
        <v>2674.627</v>
      </c>
      <c r="G117">
        <v>2684.5540000000001</v>
      </c>
      <c r="H117" s="3" t="s">
        <v>371</v>
      </c>
      <c r="I117" t="s">
        <v>1932</v>
      </c>
      <c r="J117" t="s">
        <v>1952</v>
      </c>
      <c r="U117" t="s">
        <v>372</v>
      </c>
    </row>
    <row r="118" spans="1:22" hidden="1" x14ac:dyDescent="0.25">
      <c r="A118">
        <v>160</v>
      </c>
      <c r="C118" t="s">
        <v>383</v>
      </c>
      <c r="D118" t="s">
        <v>47</v>
      </c>
      <c r="E118" t="s">
        <v>20</v>
      </c>
      <c r="F118">
        <v>707.58600000000001</v>
      </c>
      <c r="G118">
        <v>717.67600000000004</v>
      </c>
      <c r="H118" s="3" t="s">
        <v>386</v>
      </c>
      <c r="I118" t="s">
        <v>1932</v>
      </c>
      <c r="J118" t="s">
        <v>1933</v>
      </c>
      <c r="U118" t="s">
        <v>387</v>
      </c>
      <c r="V118" t="s">
        <v>388</v>
      </c>
    </row>
    <row r="119" spans="1:22" hidden="1" x14ac:dyDescent="0.25">
      <c r="A119">
        <v>159</v>
      </c>
      <c r="C119" t="s">
        <v>383</v>
      </c>
      <c r="D119" t="s">
        <v>19</v>
      </c>
      <c r="E119" t="s">
        <v>20</v>
      </c>
      <c r="F119">
        <v>3099.1439999999998</v>
      </c>
      <c r="G119">
        <v>3110.3620000000001</v>
      </c>
      <c r="H119" s="3" t="s">
        <v>384</v>
      </c>
      <c r="I119" t="s">
        <v>1932</v>
      </c>
      <c r="J119" t="s">
        <v>1940</v>
      </c>
      <c r="U119" t="s">
        <v>385</v>
      </c>
    </row>
    <row r="120" spans="1:22" hidden="1" x14ac:dyDescent="0.25">
      <c r="A120">
        <v>619</v>
      </c>
      <c r="C120" t="s">
        <v>1391</v>
      </c>
      <c r="D120" t="s">
        <v>19</v>
      </c>
      <c r="E120" t="s">
        <v>20</v>
      </c>
      <c r="F120">
        <v>408.572</v>
      </c>
      <c r="G120">
        <v>421.26600000000002</v>
      </c>
      <c r="H120" s="3" t="s">
        <v>1392</v>
      </c>
      <c r="I120" t="s">
        <v>1932</v>
      </c>
      <c r="J120" t="s">
        <v>2055</v>
      </c>
      <c r="U120" t="s">
        <v>1393</v>
      </c>
      <c r="V120" t="s">
        <v>1394</v>
      </c>
    </row>
    <row r="121" spans="1:22" hidden="1" x14ac:dyDescent="0.25">
      <c r="A121">
        <v>628</v>
      </c>
      <c r="C121" t="s">
        <v>1391</v>
      </c>
      <c r="D121" t="s">
        <v>47</v>
      </c>
      <c r="E121" t="s">
        <v>20</v>
      </c>
      <c r="F121">
        <v>430.00700000000001</v>
      </c>
      <c r="G121">
        <v>442.89699999999999</v>
      </c>
      <c r="H121" s="3" t="s">
        <v>1412</v>
      </c>
      <c r="I121" t="s">
        <v>1932</v>
      </c>
      <c r="J121" t="s">
        <v>1947</v>
      </c>
      <c r="U121" t="s">
        <v>1413</v>
      </c>
      <c r="V121" t="s">
        <v>1394</v>
      </c>
    </row>
    <row r="122" spans="1:22" hidden="1" x14ac:dyDescent="0.25">
      <c r="A122">
        <v>620</v>
      </c>
      <c r="C122" t="s">
        <v>1391</v>
      </c>
      <c r="D122" t="s">
        <v>19</v>
      </c>
      <c r="E122" t="s">
        <v>23</v>
      </c>
      <c r="F122">
        <v>435.435</v>
      </c>
      <c r="G122">
        <v>447.02</v>
      </c>
      <c r="H122" s="3" t="s">
        <v>1395</v>
      </c>
      <c r="I122" t="s">
        <v>1932</v>
      </c>
      <c r="J122" t="s">
        <v>1947</v>
      </c>
      <c r="U122" t="s">
        <v>1396</v>
      </c>
      <c r="V122" t="s">
        <v>1394</v>
      </c>
    </row>
    <row r="123" spans="1:22" hidden="1" x14ac:dyDescent="0.25">
      <c r="A123">
        <v>621</v>
      </c>
      <c r="C123" t="s">
        <v>1391</v>
      </c>
      <c r="D123" t="s">
        <v>19</v>
      </c>
      <c r="E123" t="s">
        <v>26</v>
      </c>
      <c r="F123">
        <v>484.88400000000001</v>
      </c>
      <c r="G123">
        <v>494.05900000000003</v>
      </c>
      <c r="H123" s="3" t="s">
        <v>1397</v>
      </c>
      <c r="I123" t="s">
        <v>1932</v>
      </c>
      <c r="J123" t="s">
        <v>1948</v>
      </c>
      <c r="U123" t="s">
        <v>1398</v>
      </c>
      <c r="V123" t="s">
        <v>1394</v>
      </c>
    </row>
    <row r="124" spans="1:22" hidden="1" x14ac:dyDescent="0.25">
      <c r="A124">
        <v>625</v>
      </c>
      <c r="C124" t="s">
        <v>1391</v>
      </c>
      <c r="D124" t="s">
        <v>118</v>
      </c>
      <c r="E124" t="s">
        <v>20</v>
      </c>
      <c r="F124">
        <v>966.08100000000002</v>
      </c>
      <c r="G124">
        <v>974.80799999999999</v>
      </c>
      <c r="H124" s="3" t="s">
        <v>1405</v>
      </c>
      <c r="I124" t="s">
        <v>1932</v>
      </c>
      <c r="J124" t="s">
        <v>1933</v>
      </c>
      <c r="U124" t="s">
        <v>1406</v>
      </c>
      <c r="V124" t="s">
        <v>1407</v>
      </c>
    </row>
    <row r="125" spans="1:22" hidden="1" x14ac:dyDescent="0.25">
      <c r="A125">
        <v>626</v>
      </c>
      <c r="C125" t="s">
        <v>1391</v>
      </c>
      <c r="D125" t="s">
        <v>118</v>
      </c>
      <c r="E125" t="s">
        <v>23</v>
      </c>
      <c r="F125">
        <v>1346.8710000000001</v>
      </c>
      <c r="G125">
        <v>1355.559</v>
      </c>
      <c r="H125" s="3" t="s">
        <v>1408</v>
      </c>
      <c r="I125" t="s">
        <v>1932</v>
      </c>
      <c r="J125" t="s">
        <v>1948</v>
      </c>
      <c r="U125" t="s">
        <v>1409</v>
      </c>
    </row>
    <row r="126" spans="1:22" hidden="1" x14ac:dyDescent="0.25">
      <c r="A126">
        <v>623</v>
      </c>
      <c r="C126" t="s">
        <v>1391</v>
      </c>
      <c r="D126" t="s">
        <v>19</v>
      </c>
      <c r="E126" t="s">
        <v>32</v>
      </c>
      <c r="F126">
        <v>1593.88</v>
      </c>
      <c r="G126">
        <v>1602.9390000000001</v>
      </c>
      <c r="H126" s="3" t="s">
        <v>1401</v>
      </c>
      <c r="I126" t="s">
        <v>1932</v>
      </c>
      <c r="J126" t="s">
        <v>1957</v>
      </c>
      <c r="U126" t="s">
        <v>1402</v>
      </c>
    </row>
    <row r="127" spans="1:22" hidden="1" x14ac:dyDescent="0.25">
      <c r="A127">
        <v>624</v>
      </c>
      <c r="C127" t="s">
        <v>1391</v>
      </c>
      <c r="D127" t="s">
        <v>19</v>
      </c>
      <c r="E127" t="s">
        <v>35</v>
      </c>
      <c r="F127">
        <v>2641.4090000000001</v>
      </c>
      <c r="G127">
        <v>2654.558</v>
      </c>
      <c r="H127" s="3" t="s">
        <v>1403</v>
      </c>
      <c r="I127" t="s">
        <v>1932</v>
      </c>
      <c r="J127" t="s">
        <v>2101</v>
      </c>
      <c r="U127" t="s">
        <v>1404</v>
      </c>
    </row>
    <row r="128" spans="1:22" hidden="1" x14ac:dyDescent="0.25">
      <c r="A128">
        <v>629</v>
      </c>
      <c r="C128" t="s">
        <v>1391</v>
      </c>
      <c r="D128" t="s">
        <v>47</v>
      </c>
      <c r="E128" t="s">
        <v>23</v>
      </c>
      <c r="F128">
        <v>2903.1350000000002</v>
      </c>
      <c r="G128">
        <v>2913.0630000000001</v>
      </c>
      <c r="H128" s="3" t="s">
        <v>1414</v>
      </c>
      <c r="I128" t="s">
        <v>1932</v>
      </c>
      <c r="J128" t="s">
        <v>2101</v>
      </c>
      <c r="U128" t="s">
        <v>1415</v>
      </c>
    </row>
    <row r="129" spans="1:22" hidden="1" x14ac:dyDescent="0.25">
      <c r="A129">
        <v>627</v>
      </c>
      <c r="C129" t="s">
        <v>1391</v>
      </c>
      <c r="D129" t="s">
        <v>118</v>
      </c>
      <c r="E129" t="s">
        <v>26</v>
      </c>
      <c r="F129">
        <v>3137.05</v>
      </c>
      <c r="G129">
        <v>3145.569</v>
      </c>
      <c r="H129" s="3" t="s">
        <v>1410</v>
      </c>
      <c r="I129" t="s">
        <v>1932</v>
      </c>
      <c r="J129" t="s">
        <v>1933</v>
      </c>
      <c r="U129" t="s">
        <v>1411</v>
      </c>
    </row>
    <row r="130" spans="1:22" hidden="1" x14ac:dyDescent="0.25">
      <c r="A130">
        <v>632</v>
      </c>
      <c r="C130" t="s">
        <v>1391</v>
      </c>
      <c r="D130" t="s">
        <v>47</v>
      </c>
      <c r="E130" t="s">
        <v>32</v>
      </c>
      <c r="F130">
        <v>3721.9369999999999</v>
      </c>
      <c r="G130">
        <v>3731.8130000000001</v>
      </c>
      <c r="H130" s="3" t="s">
        <v>1420</v>
      </c>
      <c r="I130" t="s">
        <v>1932</v>
      </c>
      <c r="J130" t="s">
        <v>1961</v>
      </c>
      <c r="U130" t="s">
        <v>1421</v>
      </c>
    </row>
    <row r="131" spans="1:22" hidden="1" x14ac:dyDescent="0.25">
      <c r="A131">
        <v>161</v>
      </c>
      <c r="C131" t="s">
        <v>389</v>
      </c>
      <c r="D131" t="s">
        <v>19</v>
      </c>
      <c r="E131" t="s">
        <v>20</v>
      </c>
      <c r="F131">
        <v>23.277000000000001</v>
      </c>
      <c r="G131">
        <v>34.093000000000004</v>
      </c>
      <c r="H131" s="3" t="s">
        <v>390</v>
      </c>
      <c r="I131" t="s">
        <v>1932</v>
      </c>
      <c r="J131" t="s">
        <v>1952</v>
      </c>
      <c r="U131" t="s">
        <v>391</v>
      </c>
      <c r="V131" t="s">
        <v>392</v>
      </c>
    </row>
    <row r="132" spans="1:22" hidden="1" x14ac:dyDescent="0.25">
      <c r="A132">
        <v>173</v>
      </c>
      <c r="C132" t="s">
        <v>389</v>
      </c>
      <c r="D132" t="s">
        <v>47</v>
      </c>
      <c r="E132" t="s">
        <v>20</v>
      </c>
      <c r="F132">
        <v>804.79700000000003</v>
      </c>
      <c r="G132">
        <v>813.221</v>
      </c>
      <c r="H132" s="3" t="s">
        <v>416</v>
      </c>
      <c r="I132" t="s">
        <v>1932</v>
      </c>
      <c r="J132" t="s">
        <v>2088</v>
      </c>
      <c r="U132" t="s">
        <v>417</v>
      </c>
      <c r="V132" t="s">
        <v>392</v>
      </c>
    </row>
    <row r="133" spans="1:22" hidden="1" x14ac:dyDescent="0.25">
      <c r="A133">
        <v>162</v>
      </c>
      <c r="C133" t="s">
        <v>389</v>
      </c>
      <c r="D133" t="s">
        <v>19</v>
      </c>
      <c r="E133" t="s">
        <v>23</v>
      </c>
      <c r="F133">
        <v>1020.6420000000001</v>
      </c>
      <c r="G133">
        <v>1031.6279999999999</v>
      </c>
      <c r="H133" s="3" t="s">
        <v>393</v>
      </c>
      <c r="I133" t="s">
        <v>1932</v>
      </c>
      <c r="J133" t="s">
        <v>1947</v>
      </c>
      <c r="U133" t="s">
        <v>394</v>
      </c>
      <c r="V133" t="s">
        <v>395</v>
      </c>
    </row>
    <row r="134" spans="1:22" hidden="1" x14ac:dyDescent="0.25">
      <c r="A134">
        <v>171</v>
      </c>
      <c r="C134" t="s">
        <v>389</v>
      </c>
      <c r="D134" t="s">
        <v>118</v>
      </c>
      <c r="E134" t="s">
        <v>20</v>
      </c>
      <c r="F134">
        <v>1793.662</v>
      </c>
      <c r="G134">
        <v>1802.5309999999999</v>
      </c>
      <c r="H134" s="3" t="s">
        <v>412</v>
      </c>
      <c r="I134" t="s">
        <v>1932</v>
      </c>
      <c r="J134" t="s">
        <v>2101</v>
      </c>
      <c r="U134" t="s">
        <v>413</v>
      </c>
    </row>
    <row r="135" spans="1:22" hidden="1" x14ac:dyDescent="0.25">
      <c r="A135">
        <v>174</v>
      </c>
      <c r="C135" t="s">
        <v>389</v>
      </c>
      <c r="D135" t="s">
        <v>47</v>
      </c>
      <c r="E135" t="s">
        <v>23</v>
      </c>
      <c r="F135">
        <v>1858.8689999999999</v>
      </c>
      <c r="G135">
        <v>1867.66</v>
      </c>
      <c r="H135" s="3" t="s">
        <v>418</v>
      </c>
      <c r="I135" t="s">
        <v>1932</v>
      </c>
      <c r="J135" t="s">
        <v>2103</v>
      </c>
      <c r="U135" t="s">
        <v>419</v>
      </c>
    </row>
    <row r="136" spans="1:22" hidden="1" x14ac:dyDescent="0.25">
      <c r="A136">
        <v>163</v>
      </c>
      <c r="C136" t="s">
        <v>389</v>
      </c>
      <c r="D136" t="s">
        <v>19</v>
      </c>
      <c r="E136" t="s">
        <v>26</v>
      </c>
      <c r="F136">
        <v>2211.6930000000002</v>
      </c>
      <c r="G136">
        <v>2222.9540000000002</v>
      </c>
      <c r="H136" s="3" t="s">
        <v>396</v>
      </c>
      <c r="I136" t="s">
        <v>1932</v>
      </c>
      <c r="J136" t="s">
        <v>2101</v>
      </c>
      <c r="K136">
        <v>164</v>
      </c>
      <c r="U136" t="s">
        <v>397</v>
      </c>
    </row>
    <row r="137" spans="1:22" hidden="1" x14ac:dyDescent="0.25">
      <c r="A137">
        <v>164</v>
      </c>
      <c r="C137" t="s">
        <v>389</v>
      </c>
      <c r="D137" t="s">
        <v>19</v>
      </c>
      <c r="E137" t="s">
        <v>29</v>
      </c>
      <c r="F137">
        <v>2215.4009999999998</v>
      </c>
      <c r="G137">
        <v>2224.5479999999998</v>
      </c>
      <c r="H137" s="3" t="s">
        <v>398</v>
      </c>
      <c r="I137" t="s">
        <v>1932</v>
      </c>
      <c r="J137" t="s">
        <v>2101</v>
      </c>
      <c r="K137">
        <v>163</v>
      </c>
      <c r="U137" t="s">
        <v>399</v>
      </c>
    </row>
    <row r="138" spans="1:22" hidden="1" x14ac:dyDescent="0.25">
      <c r="A138">
        <v>172</v>
      </c>
      <c r="C138" t="s">
        <v>389</v>
      </c>
      <c r="D138" t="s">
        <v>118</v>
      </c>
      <c r="E138" t="s">
        <v>23</v>
      </c>
      <c r="F138">
        <v>2821.3649999999998</v>
      </c>
      <c r="G138">
        <v>2832.163</v>
      </c>
      <c r="H138" s="3" t="s">
        <v>414</v>
      </c>
      <c r="I138" t="s">
        <v>1932</v>
      </c>
      <c r="J138" t="s">
        <v>1957</v>
      </c>
      <c r="U138" t="s">
        <v>415</v>
      </c>
    </row>
    <row r="139" spans="1:22" hidden="1" x14ac:dyDescent="0.25">
      <c r="A139">
        <v>165</v>
      </c>
      <c r="C139" t="s">
        <v>389</v>
      </c>
      <c r="D139" t="s">
        <v>19</v>
      </c>
      <c r="E139" t="s">
        <v>32</v>
      </c>
      <c r="F139">
        <v>3255.942</v>
      </c>
      <c r="G139">
        <v>3268.7570000000001</v>
      </c>
      <c r="H139" s="3" t="s">
        <v>400</v>
      </c>
      <c r="I139" t="s">
        <v>1932</v>
      </c>
      <c r="J139" t="s">
        <v>1952</v>
      </c>
      <c r="U139" t="s">
        <v>401</v>
      </c>
    </row>
    <row r="140" spans="1:22" hidden="1" x14ac:dyDescent="0.25">
      <c r="A140">
        <v>166</v>
      </c>
      <c r="C140" t="s">
        <v>389</v>
      </c>
      <c r="D140" t="s">
        <v>19</v>
      </c>
      <c r="E140" t="s">
        <v>35</v>
      </c>
      <c r="F140">
        <v>3272.8989999999999</v>
      </c>
      <c r="G140">
        <v>3286.4409999999998</v>
      </c>
      <c r="H140" s="3" t="s">
        <v>402</v>
      </c>
      <c r="I140" t="s">
        <v>1932</v>
      </c>
      <c r="J140" t="s">
        <v>1952</v>
      </c>
      <c r="U140" t="s">
        <v>403</v>
      </c>
    </row>
    <row r="141" spans="1:22" hidden="1" x14ac:dyDescent="0.25">
      <c r="A141">
        <v>167</v>
      </c>
      <c r="C141" t="s">
        <v>389</v>
      </c>
      <c r="D141" t="s">
        <v>19</v>
      </c>
      <c r="E141" t="s">
        <v>38</v>
      </c>
      <c r="F141">
        <v>3293.2240000000002</v>
      </c>
      <c r="G141">
        <v>3303.252</v>
      </c>
      <c r="H141" s="3" t="s">
        <v>404</v>
      </c>
      <c r="I141" t="s">
        <v>1932</v>
      </c>
      <c r="J141" t="s">
        <v>1952</v>
      </c>
      <c r="U141" t="s">
        <v>405</v>
      </c>
    </row>
    <row r="142" spans="1:22" hidden="1" x14ac:dyDescent="0.25">
      <c r="A142">
        <v>168</v>
      </c>
      <c r="C142" t="s">
        <v>389</v>
      </c>
      <c r="D142" t="s">
        <v>19</v>
      </c>
      <c r="E142" t="s">
        <v>41</v>
      </c>
      <c r="F142">
        <v>3425.3290000000002</v>
      </c>
      <c r="G142">
        <v>3436.2750000000001</v>
      </c>
      <c r="H142" s="3" t="s">
        <v>406</v>
      </c>
      <c r="I142" t="s">
        <v>1932</v>
      </c>
      <c r="J142" t="s">
        <v>1952</v>
      </c>
      <c r="U142" t="s">
        <v>407</v>
      </c>
    </row>
    <row r="143" spans="1:22" hidden="1" x14ac:dyDescent="0.25">
      <c r="A143">
        <v>175</v>
      </c>
      <c r="C143" t="s">
        <v>389</v>
      </c>
      <c r="D143" t="s">
        <v>47</v>
      </c>
      <c r="E143" t="s">
        <v>26</v>
      </c>
      <c r="F143">
        <v>3540.3789999999999</v>
      </c>
      <c r="G143">
        <v>3549.1750000000002</v>
      </c>
      <c r="H143" s="3" t="s">
        <v>420</v>
      </c>
      <c r="I143" t="s">
        <v>1932</v>
      </c>
      <c r="J143" t="s">
        <v>1947</v>
      </c>
      <c r="U143" t="s">
        <v>421</v>
      </c>
    </row>
    <row r="144" spans="1:22" hidden="1" x14ac:dyDescent="0.25">
      <c r="A144">
        <v>169</v>
      </c>
      <c r="C144" t="s">
        <v>389</v>
      </c>
      <c r="D144" t="s">
        <v>19</v>
      </c>
      <c r="E144" t="s">
        <v>44</v>
      </c>
      <c r="F144">
        <v>3662.7469999999998</v>
      </c>
      <c r="G144">
        <v>3673.027</v>
      </c>
      <c r="H144" s="3" t="s">
        <v>408</v>
      </c>
      <c r="I144" t="s">
        <v>1932</v>
      </c>
      <c r="J144" t="s">
        <v>2101</v>
      </c>
      <c r="U144" t="s">
        <v>409</v>
      </c>
    </row>
    <row r="145" spans="1:22" hidden="1" x14ac:dyDescent="0.25">
      <c r="A145">
        <v>170</v>
      </c>
      <c r="C145" t="s">
        <v>389</v>
      </c>
      <c r="D145" t="s">
        <v>19</v>
      </c>
      <c r="E145" t="s">
        <v>85</v>
      </c>
      <c r="F145">
        <v>3701.511</v>
      </c>
      <c r="G145">
        <v>3711.98</v>
      </c>
      <c r="H145" s="3" t="s">
        <v>410</v>
      </c>
      <c r="I145" t="s">
        <v>1932</v>
      </c>
      <c r="J145" t="s">
        <v>1961</v>
      </c>
      <c r="U145" t="s">
        <v>411</v>
      </c>
    </row>
    <row r="146" spans="1:22" hidden="1" x14ac:dyDescent="0.25">
      <c r="A146">
        <v>176</v>
      </c>
      <c r="C146" t="s">
        <v>389</v>
      </c>
      <c r="D146" t="s">
        <v>47</v>
      </c>
      <c r="E146" t="s">
        <v>29</v>
      </c>
      <c r="F146">
        <v>3709.5830000000001</v>
      </c>
      <c r="G146">
        <v>3719.65</v>
      </c>
      <c r="H146" s="3" t="s">
        <v>422</v>
      </c>
      <c r="I146" t="s">
        <v>1932</v>
      </c>
      <c r="J146" t="s">
        <v>2101</v>
      </c>
      <c r="U146" t="s">
        <v>423</v>
      </c>
    </row>
    <row r="147" spans="1:22" hidden="1" x14ac:dyDescent="0.25">
      <c r="A147">
        <v>186</v>
      </c>
      <c r="C147" t="s">
        <v>424</v>
      </c>
      <c r="D147" t="s">
        <v>47</v>
      </c>
      <c r="E147" t="s">
        <v>20</v>
      </c>
      <c r="F147">
        <v>63.947999999999993</v>
      </c>
      <c r="G147">
        <v>72.730999999999995</v>
      </c>
      <c r="H147" s="3" t="s">
        <v>444</v>
      </c>
      <c r="I147" t="s">
        <v>1932</v>
      </c>
      <c r="J147" t="s">
        <v>2101</v>
      </c>
      <c r="U147" t="s">
        <v>445</v>
      </c>
      <c r="V147" t="s">
        <v>427</v>
      </c>
    </row>
    <row r="148" spans="1:22" hidden="1" x14ac:dyDescent="0.25">
      <c r="A148">
        <v>178</v>
      </c>
      <c r="C148" t="s">
        <v>424</v>
      </c>
      <c r="D148" t="s">
        <v>19</v>
      </c>
      <c r="E148" t="s">
        <v>23</v>
      </c>
      <c r="F148">
        <v>323.36599999999999</v>
      </c>
      <c r="G148">
        <v>332.43599999999998</v>
      </c>
      <c r="H148" s="3" t="s">
        <v>428</v>
      </c>
      <c r="I148" t="s">
        <v>1932</v>
      </c>
      <c r="U148" t="s">
        <v>429</v>
      </c>
      <c r="V148" t="s">
        <v>427</v>
      </c>
    </row>
    <row r="149" spans="1:22" hidden="1" x14ac:dyDescent="0.25">
      <c r="A149">
        <v>180</v>
      </c>
      <c r="C149" t="s">
        <v>424</v>
      </c>
      <c r="D149" t="s">
        <v>19</v>
      </c>
      <c r="E149" t="s">
        <v>29</v>
      </c>
      <c r="F149">
        <v>1333.904</v>
      </c>
      <c r="G149">
        <v>1344.6369999999999</v>
      </c>
      <c r="H149" s="3" t="s">
        <v>432</v>
      </c>
      <c r="I149" t="s">
        <v>1932</v>
      </c>
      <c r="J149" t="s">
        <v>2101</v>
      </c>
      <c r="U149" t="s">
        <v>433</v>
      </c>
    </row>
    <row r="150" spans="1:22" hidden="1" x14ac:dyDescent="0.25">
      <c r="A150">
        <v>181</v>
      </c>
      <c r="C150" t="s">
        <v>424</v>
      </c>
      <c r="D150" t="s">
        <v>19</v>
      </c>
      <c r="E150" t="s">
        <v>32</v>
      </c>
      <c r="F150">
        <v>1653.088</v>
      </c>
      <c r="G150">
        <v>1663.309</v>
      </c>
      <c r="H150" s="3" t="s">
        <v>434</v>
      </c>
      <c r="I150" t="s">
        <v>1932</v>
      </c>
      <c r="J150" t="s">
        <v>1961</v>
      </c>
      <c r="U150" t="s">
        <v>435</v>
      </c>
    </row>
    <row r="151" spans="1:22" hidden="1" x14ac:dyDescent="0.25">
      <c r="A151">
        <v>182</v>
      </c>
      <c r="C151" t="s">
        <v>424</v>
      </c>
      <c r="D151" t="s">
        <v>19</v>
      </c>
      <c r="E151" t="s">
        <v>35</v>
      </c>
      <c r="F151">
        <v>2230.0210000000002</v>
      </c>
      <c r="G151">
        <v>2240.125</v>
      </c>
      <c r="H151" s="3" t="s">
        <v>436</v>
      </c>
      <c r="I151" t="s">
        <v>1932</v>
      </c>
      <c r="J151" t="s">
        <v>1933</v>
      </c>
      <c r="U151" t="s">
        <v>437</v>
      </c>
    </row>
    <row r="152" spans="1:22" hidden="1" x14ac:dyDescent="0.25">
      <c r="A152">
        <v>184</v>
      </c>
      <c r="C152" t="s">
        <v>424</v>
      </c>
      <c r="D152" t="s">
        <v>19</v>
      </c>
      <c r="E152" t="s">
        <v>41</v>
      </c>
      <c r="F152">
        <v>2497.1460000000002</v>
      </c>
      <c r="G152">
        <v>2510.288</v>
      </c>
      <c r="H152" s="3" t="s">
        <v>440</v>
      </c>
      <c r="I152" t="s">
        <v>1932</v>
      </c>
      <c r="J152" t="s">
        <v>2106</v>
      </c>
      <c r="U152" t="s">
        <v>441</v>
      </c>
    </row>
    <row r="153" spans="1:22" hidden="1" x14ac:dyDescent="0.25">
      <c r="A153">
        <v>185</v>
      </c>
      <c r="C153" t="s">
        <v>424</v>
      </c>
      <c r="D153" t="s">
        <v>19</v>
      </c>
      <c r="E153" t="s">
        <v>44</v>
      </c>
      <c r="F153">
        <v>2962.779</v>
      </c>
      <c r="G153">
        <v>2973.252</v>
      </c>
      <c r="H153" s="3" t="s">
        <v>442</v>
      </c>
      <c r="I153" t="s">
        <v>1932</v>
      </c>
      <c r="J153" t="s">
        <v>2106</v>
      </c>
      <c r="U153" t="s">
        <v>443</v>
      </c>
    </row>
    <row r="154" spans="1:22" hidden="1" x14ac:dyDescent="0.25">
      <c r="A154">
        <v>688</v>
      </c>
      <c r="C154" t="s">
        <v>1508</v>
      </c>
      <c r="D154" t="s">
        <v>47</v>
      </c>
      <c r="E154" t="s">
        <v>20</v>
      </c>
      <c r="F154">
        <v>243.851</v>
      </c>
      <c r="G154">
        <v>253.66399999999999</v>
      </c>
      <c r="H154" s="3" t="s">
        <v>1538</v>
      </c>
      <c r="I154" t="s">
        <v>1932</v>
      </c>
      <c r="J154" t="s">
        <v>1947</v>
      </c>
      <c r="U154" t="s">
        <v>1539</v>
      </c>
      <c r="V154" t="s">
        <v>1540</v>
      </c>
    </row>
    <row r="155" spans="1:22" hidden="1" x14ac:dyDescent="0.25">
      <c r="A155">
        <v>689</v>
      </c>
      <c r="C155" t="s">
        <v>1508</v>
      </c>
      <c r="D155" t="s">
        <v>47</v>
      </c>
      <c r="E155" t="s">
        <v>23</v>
      </c>
      <c r="F155">
        <v>265.51600000000002</v>
      </c>
      <c r="G155">
        <v>275.70999999999998</v>
      </c>
      <c r="H155" s="3" t="s">
        <v>1541</v>
      </c>
      <c r="I155" t="s">
        <v>1932</v>
      </c>
      <c r="J155" t="s">
        <v>1957</v>
      </c>
      <c r="U155" t="s">
        <v>1542</v>
      </c>
      <c r="V155" t="s">
        <v>1543</v>
      </c>
    </row>
    <row r="156" spans="1:22" hidden="1" x14ac:dyDescent="0.25">
      <c r="A156">
        <v>680</v>
      </c>
      <c r="C156" t="s">
        <v>1508</v>
      </c>
      <c r="D156" t="s">
        <v>118</v>
      </c>
      <c r="E156" t="s">
        <v>23</v>
      </c>
      <c r="F156">
        <v>794.29100000000005</v>
      </c>
      <c r="G156">
        <v>805.01700000000005</v>
      </c>
      <c r="H156" s="3" t="s">
        <v>1522</v>
      </c>
      <c r="I156" t="s">
        <v>1932</v>
      </c>
      <c r="J156" t="s">
        <v>2106</v>
      </c>
      <c r="U156" t="s">
        <v>1523</v>
      </c>
    </row>
    <row r="157" spans="1:22" hidden="1" x14ac:dyDescent="0.25">
      <c r="A157">
        <v>674</v>
      </c>
      <c r="C157" t="s">
        <v>1508</v>
      </c>
      <c r="D157" t="s">
        <v>19</v>
      </c>
      <c r="E157" t="s">
        <v>20</v>
      </c>
      <c r="F157">
        <v>1340.559</v>
      </c>
      <c r="G157">
        <v>1353.5609999999999</v>
      </c>
      <c r="H157" s="3" t="s">
        <v>1509</v>
      </c>
      <c r="I157" t="s">
        <v>1932</v>
      </c>
      <c r="J157" t="s">
        <v>1961</v>
      </c>
      <c r="U157" t="s">
        <v>1510</v>
      </c>
    </row>
    <row r="158" spans="1:22" hidden="1" x14ac:dyDescent="0.25">
      <c r="A158">
        <v>682</v>
      </c>
      <c r="C158" t="s">
        <v>1508</v>
      </c>
      <c r="D158" t="s">
        <v>118</v>
      </c>
      <c r="E158" t="s">
        <v>29</v>
      </c>
      <c r="F158">
        <v>1685.4870000000001</v>
      </c>
      <c r="G158">
        <v>1696.0440000000001</v>
      </c>
      <c r="H158" s="3" t="s">
        <v>1526</v>
      </c>
      <c r="I158" t="s">
        <v>1932</v>
      </c>
      <c r="J158" t="s">
        <v>2053</v>
      </c>
      <c r="U158" t="s">
        <v>1527</v>
      </c>
    </row>
    <row r="159" spans="1:22" hidden="1" x14ac:dyDescent="0.25">
      <c r="A159">
        <v>683</v>
      </c>
      <c r="C159" t="s">
        <v>1508</v>
      </c>
      <c r="D159" t="s">
        <v>118</v>
      </c>
      <c r="E159" t="s">
        <v>32</v>
      </c>
      <c r="F159">
        <v>1705.048</v>
      </c>
      <c r="G159">
        <v>1715.4059999999999</v>
      </c>
      <c r="H159" s="3" t="s">
        <v>1528</v>
      </c>
      <c r="I159" t="s">
        <v>1932</v>
      </c>
      <c r="J159" t="s">
        <v>1948</v>
      </c>
      <c r="U159" t="s">
        <v>1529</v>
      </c>
    </row>
    <row r="160" spans="1:22" hidden="1" x14ac:dyDescent="0.25">
      <c r="A160">
        <v>676</v>
      </c>
      <c r="C160" t="s">
        <v>1508</v>
      </c>
      <c r="D160" t="s">
        <v>19</v>
      </c>
      <c r="E160" t="s">
        <v>26</v>
      </c>
      <c r="F160">
        <v>1794.1780000000001</v>
      </c>
      <c r="G160">
        <v>1804.6110000000001</v>
      </c>
      <c r="H160" s="3" t="s">
        <v>1513</v>
      </c>
      <c r="I160" t="s">
        <v>1932</v>
      </c>
      <c r="J160" t="s">
        <v>2125</v>
      </c>
      <c r="S160" t="s">
        <v>2148</v>
      </c>
      <c r="U160" t="s">
        <v>1514</v>
      </c>
    </row>
    <row r="161" spans="1:22" hidden="1" x14ac:dyDescent="0.25">
      <c r="A161">
        <v>677</v>
      </c>
      <c r="C161" t="s">
        <v>1508</v>
      </c>
      <c r="D161" t="s">
        <v>19</v>
      </c>
      <c r="E161" t="s">
        <v>29</v>
      </c>
      <c r="F161">
        <v>2058.13</v>
      </c>
      <c r="G161">
        <v>2069.4259999999999</v>
      </c>
      <c r="H161" s="3" t="s">
        <v>1515</v>
      </c>
      <c r="I161" t="s">
        <v>1932</v>
      </c>
      <c r="J161" t="s">
        <v>2101</v>
      </c>
      <c r="U161" t="s">
        <v>1516</v>
      </c>
    </row>
    <row r="162" spans="1:22" hidden="1" x14ac:dyDescent="0.25">
      <c r="A162">
        <v>686</v>
      </c>
      <c r="C162" t="s">
        <v>1508</v>
      </c>
      <c r="D162" t="s">
        <v>118</v>
      </c>
      <c r="E162" t="s">
        <v>41</v>
      </c>
      <c r="F162">
        <v>2795.8310000000001</v>
      </c>
      <c r="G162">
        <v>2805.8359999999998</v>
      </c>
      <c r="H162" s="3" t="s">
        <v>1534</v>
      </c>
      <c r="I162" t="s">
        <v>1932</v>
      </c>
      <c r="J162" t="s">
        <v>2125</v>
      </c>
      <c r="K162">
        <v>687</v>
      </c>
      <c r="U162" t="s">
        <v>1535</v>
      </c>
    </row>
    <row r="163" spans="1:22" hidden="1" x14ac:dyDescent="0.25">
      <c r="A163">
        <v>687</v>
      </c>
      <c r="C163" t="s">
        <v>1508</v>
      </c>
      <c r="D163" t="s">
        <v>118</v>
      </c>
      <c r="E163" t="s">
        <v>44</v>
      </c>
      <c r="F163">
        <v>2798.4850000000001</v>
      </c>
      <c r="G163">
        <v>2808.9140000000002</v>
      </c>
      <c r="H163" t="s">
        <v>1536</v>
      </c>
      <c r="I163" t="s">
        <v>1932</v>
      </c>
      <c r="J163" t="s">
        <v>2125</v>
      </c>
      <c r="K163">
        <v>686</v>
      </c>
      <c r="U163" t="s">
        <v>1537</v>
      </c>
    </row>
    <row r="164" spans="1:22" hidden="1" x14ac:dyDescent="0.25">
      <c r="A164">
        <v>695</v>
      </c>
      <c r="C164" t="s">
        <v>1555</v>
      </c>
      <c r="D164" t="s">
        <v>19</v>
      </c>
      <c r="E164" t="s">
        <v>20</v>
      </c>
      <c r="F164">
        <v>60.573999999999998</v>
      </c>
      <c r="G164">
        <v>69.216999999999999</v>
      </c>
      <c r="H164" s="3" t="s">
        <v>1556</v>
      </c>
      <c r="I164" t="s">
        <v>1932</v>
      </c>
      <c r="J164" t="s">
        <v>1961</v>
      </c>
      <c r="L164" t="s">
        <v>1932</v>
      </c>
      <c r="M164" t="s">
        <v>1932</v>
      </c>
      <c r="N164" t="s">
        <v>1932</v>
      </c>
      <c r="O164" t="s">
        <v>1936</v>
      </c>
      <c r="P164" t="s">
        <v>1934</v>
      </c>
      <c r="Q164">
        <v>1</v>
      </c>
      <c r="T164" t="s">
        <v>2046</v>
      </c>
      <c r="U164" t="s">
        <v>1557</v>
      </c>
      <c r="V164" t="s">
        <v>1558</v>
      </c>
    </row>
    <row r="165" spans="1:22" hidden="1" x14ac:dyDescent="0.25">
      <c r="A165">
        <v>730</v>
      </c>
      <c r="C165" t="s">
        <v>1555</v>
      </c>
      <c r="D165" t="s">
        <v>47</v>
      </c>
      <c r="E165" t="s">
        <v>26</v>
      </c>
      <c r="F165">
        <v>461.96699999999998</v>
      </c>
      <c r="G165">
        <v>473.03100000000001</v>
      </c>
      <c r="H165" s="3" t="s">
        <v>1631</v>
      </c>
      <c r="I165" t="s">
        <v>1932</v>
      </c>
      <c r="J165" t="s">
        <v>1938</v>
      </c>
      <c r="S165" t="s">
        <v>2226</v>
      </c>
      <c r="U165" t="s">
        <v>1632</v>
      </c>
    </row>
    <row r="166" spans="1:22" hidden="1" x14ac:dyDescent="0.25">
      <c r="A166">
        <v>696</v>
      </c>
      <c r="C166" t="s">
        <v>1555</v>
      </c>
      <c r="D166" t="s">
        <v>19</v>
      </c>
      <c r="E166" t="s">
        <v>23</v>
      </c>
      <c r="F166">
        <v>92.664000000000001</v>
      </c>
      <c r="G166">
        <v>101.047</v>
      </c>
      <c r="H166" s="3" t="s">
        <v>1559</v>
      </c>
      <c r="I166" t="s">
        <v>1932</v>
      </c>
      <c r="J166" t="s">
        <v>1940</v>
      </c>
      <c r="K166">
        <v>967</v>
      </c>
      <c r="U166" t="s">
        <v>1560</v>
      </c>
      <c r="V166" t="s">
        <v>1561</v>
      </c>
    </row>
    <row r="167" spans="1:22" hidden="1" x14ac:dyDescent="0.25">
      <c r="A167">
        <v>697</v>
      </c>
      <c r="C167" t="s">
        <v>1555</v>
      </c>
      <c r="D167" t="s">
        <v>19</v>
      </c>
      <c r="E167" t="s">
        <v>26</v>
      </c>
      <c r="F167">
        <v>93.046999999999997</v>
      </c>
      <c r="G167">
        <v>104.258</v>
      </c>
      <c r="H167" s="3" t="s">
        <v>1562</v>
      </c>
      <c r="I167" t="s">
        <v>1932</v>
      </c>
      <c r="J167" t="s">
        <v>1940</v>
      </c>
      <c r="K167">
        <v>696</v>
      </c>
      <c r="U167" t="s">
        <v>1563</v>
      </c>
      <c r="V167" t="s">
        <v>1564</v>
      </c>
    </row>
    <row r="168" spans="1:22" hidden="1" x14ac:dyDescent="0.25">
      <c r="A168">
        <v>698</v>
      </c>
      <c r="C168" t="s">
        <v>1555</v>
      </c>
      <c r="D168" t="s">
        <v>19</v>
      </c>
      <c r="E168" t="s">
        <v>29</v>
      </c>
      <c r="F168">
        <v>112.669</v>
      </c>
      <c r="G168">
        <v>122.208</v>
      </c>
      <c r="H168" s="3" t="s">
        <v>1565</v>
      </c>
      <c r="I168" t="s">
        <v>1932</v>
      </c>
      <c r="J168" t="s">
        <v>1957</v>
      </c>
      <c r="U168" t="s">
        <v>1566</v>
      </c>
      <c r="V168" t="s">
        <v>1567</v>
      </c>
    </row>
    <row r="169" spans="1:22" hidden="1" x14ac:dyDescent="0.25">
      <c r="A169">
        <v>699</v>
      </c>
      <c r="C169" t="s">
        <v>1555</v>
      </c>
      <c r="D169" t="s">
        <v>19</v>
      </c>
      <c r="E169" t="s">
        <v>32</v>
      </c>
      <c r="F169">
        <v>114.208</v>
      </c>
      <c r="G169">
        <v>124.178</v>
      </c>
      <c r="H169" s="3" t="s">
        <v>1568</v>
      </c>
      <c r="I169" t="s">
        <v>1932</v>
      </c>
      <c r="J169" t="s">
        <v>1939</v>
      </c>
      <c r="U169" t="s">
        <v>1569</v>
      </c>
      <c r="V169" t="s">
        <v>1570</v>
      </c>
    </row>
    <row r="170" spans="1:22" hidden="1" x14ac:dyDescent="0.25">
      <c r="A170">
        <v>700</v>
      </c>
      <c r="C170" t="s">
        <v>1555</v>
      </c>
      <c r="D170" t="s">
        <v>19</v>
      </c>
      <c r="E170" t="s">
        <v>35</v>
      </c>
      <c r="F170">
        <v>375.70699999999999</v>
      </c>
      <c r="G170">
        <v>386.92700000000002</v>
      </c>
      <c r="H170" s="3" t="s">
        <v>1571</v>
      </c>
      <c r="I170" t="s">
        <v>1932</v>
      </c>
      <c r="J170" t="s">
        <v>1946</v>
      </c>
      <c r="U170" t="s">
        <v>1572</v>
      </c>
    </row>
    <row r="171" spans="1:22" hidden="1" x14ac:dyDescent="0.25">
      <c r="A171">
        <v>726</v>
      </c>
      <c r="C171" t="s">
        <v>1555</v>
      </c>
      <c r="D171" t="s">
        <v>118</v>
      </c>
      <c r="E171" t="s">
        <v>20</v>
      </c>
      <c r="F171">
        <v>383.63</v>
      </c>
      <c r="G171">
        <v>392.351</v>
      </c>
      <c r="H171" s="3" t="s">
        <v>1623</v>
      </c>
      <c r="I171" t="s">
        <v>1932</v>
      </c>
      <c r="J171" t="s">
        <v>2053</v>
      </c>
      <c r="U171" t="s">
        <v>1624</v>
      </c>
    </row>
    <row r="172" spans="1:22" hidden="1" x14ac:dyDescent="0.25">
      <c r="A172">
        <v>701</v>
      </c>
      <c r="C172" t="s">
        <v>1555</v>
      </c>
      <c r="D172" t="s">
        <v>19</v>
      </c>
      <c r="E172" t="s">
        <v>38</v>
      </c>
      <c r="F172">
        <v>399.964</v>
      </c>
      <c r="G172">
        <v>410.22300000000001</v>
      </c>
      <c r="H172" s="3" t="s">
        <v>1573</v>
      </c>
      <c r="I172" t="s">
        <v>1932</v>
      </c>
      <c r="J172" t="s">
        <v>1952</v>
      </c>
      <c r="U172" t="s">
        <v>1574</v>
      </c>
    </row>
    <row r="173" spans="1:22" hidden="1" x14ac:dyDescent="0.25">
      <c r="A173">
        <v>728</v>
      </c>
      <c r="C173" t="s">
        <v>1555</v>
      </c>
      <c r="D173" t="s">
        <v>47</v>
      </c>
      <c r="E173" t="s">
        <v>20</v>
      </c>
      <c r="F173">
        <v>455.91500000000002</v>
      </c>
      <c r="G173">
        <v>464.69400000000002</v>
      </c>
      <c r="H173" s="3" t="s">
        <v>1627</v>
      </c>
      <c r="I173" t="s">
        <v>1932</v>
      </c>
      <c r="J173" t="s">
        <v>1933</v>
      </c>
      <c r="U173" t="s">
        <v>1628</v>
      </c>
    </row>
    <row r="174" spans="1:22" hidden="1" x14ac:dyDescent="0.25">
      <c r="A174">
        <v>729</v>
      </c>
      <c r="C174" t="s">
        <v>1555</v>
      </c>
      <c r="D174" t="s">
        <v>47</v>
      </c>
      <c r="E174" t="s">
        <v>23</v>
      </c>
      <c r="F174">
        <v>457.52499999999998</v>
      </c>
      <c r="G174">
        <v>467.12200000000001</v>
      </c>
      <c r="H174" s="3" t="s">
        <v>1629</v>
      </c>
      <c r="I174" t="s">
        <v>1932</v>
      </c>
      <c r="J174" t="s">
        <v>1933</v>
      </c>
      <c r="U174" t="s">
        <v>1630</v>
      </c>
    </row>
    <row r="175" spans="1:22" hidden="1" x14ac:dyDescent="0.25">
      <c r="A175">
        <v>703</v>
      </c>
      <c r="C175" t="s">
        <v>1555</v>
      </c>
      <c r="D175" t="s">
        <v>19</v>
      </c>
      <c r="E175" t="s">
        <v>44</v>
      </c>
      <c r="F175">
        <v>479.49</v>
      </c>
      <c r="G175">
        <v>493.02100000000002</v>
      </c>
      <c r="H175" s="3" t="s">
        <v>1577</v>
      </c>
      <c r="I175" t="s">
        <v>1932</v>
      </c>
      <c r="J175" t="s">
        <v>2101</v>
      </c>
      <c r="U175" t="s">
        <v>1578</v>
      </c>
    </row>
    <row r="176" spans="1:22" hidden="1" x14ac:dyDescent="0.25">
      <c r="A176">
        <v>704</v>
      </c>
      <c r="C176" t="s">
        <v>1555</v>
      </c>
      <c r="D176" t="s">
        <v>19</v>
      </c>
      <c r="E176" t="s">
        <v>85</v>
      </c>
      <c r="F176">
        <v>485.61099999999999</v>
      </c>
      <c r="G176">
        <v>497.584</v>
      </c>
      <c r="H176" s="3" t="s">
        <v>1579</v>
      </c>
      <c r="I176" t="s">
        <v>1932</v>
      </c>
      <c r="J176" t="s">
        <v>1941</v>
      </c>
      <c r="U176" t="s">
        <v>1580</v>
      </c>
    </row>
    <row r="177" spans="1:21" hidden="1" x14ac:dyDescent="0.25">
      <c r="A177">
        <v>731</v>
      </c>
      <c r="C177" t="s">
        <v>1555</v>
      </c>
      <c r="D177" t="s">
        <v>47</v>
      </c>
      <c r="E177" t="s">
        <v>29</v>
      </c>
      <c r="F177">
        <v>490.61099999999999</v>
      </c>
      <c r="G177">
        <v>499.44099999999997</v>
      </c>
      <c r="H177" s="3" t="s">
        <v>1633</v>
      </c>
      <c r="I177" t="s">
        <v>1932</v>
      </c>
      <c r="J177" t="s">
        <v>1933</v>
      </c>
      <c r="U177" t="s">
        <v>1634</v>
      </c>
    </row>
    <row r="178" spans="1:21" hidden="1" x14ac:dyDescent="0.25">
      <c r="A178">
        <v>705</v>
      </c>
      <c r="C178" t="s">
        <v>1555</v>
      </c>
      <c r="D178" t="s">
        <v>19</v>
      </c>
      <c r="E178" t="s">
        <v>88</v>
      </c>
      <c r="F178">
        <v>496.75</v>
      </c>
      <c r="G178">
        <v>509.60300000000001</v>
      </c>
      <c r="H178" s="3" t="s">
        <v>1581</v>
      </c>
      <c r="I178" t="s">
        <v>1932</v>
      </c>
      <c r="J178" t="s">
        <v>1940</v>
      </c>
      <c r="U178" t="s">
        <v>1582</v>
      </c>
    </row>
    <row r="179" spans="1:21" hidden="1" x14ac:dyDescent="0.25">
      <c r="A179">
        <v>706</v>
      </c>
      <c r="C179" t="s">
        <v>1555</v>
      </c>
      <c r="D179" t="s">
        <v>19</v>
      </c>
      <c r="E179" t="s">
        <v>91</v>
      </c>
      <c r="F179">
        <v>528.44399999999996</v>
      </c>
      <c r="G179">
        <v>537.69100000000003</v>
      </c>
      <c r="H179" s="3" t="s">
        <v>1583</v>
      </c>
      <c r="I179" t="s">
        <v>1932</v>
      </c>
      <c r="U179" t="s">
        <v>1584</v>
      </c>
    </row>
    <row r="180" spans="1:21" hidden="1" x14ac:dyDescent="0.25">
      <c r="A180">
        <v>707</v>
      </c>
      <c r="C180" t="s">
        <v>1555</v>
      </c>
      <c r="D180" t="s">
        <v>19</v>
      </c>
      <c r="E180" t="s">
        <v>94</v>
      </c>
      <c r="F180">
        <v>547.30799999999999</v>
      </c>
      <c r="G180">
        <v>556.07500000000005</v>
      </c>
      <c r="H180" s="3" t="s">
        <v>1585</v>
      </c>
      <c r="I180" t="s">
        <v>1932</v>
      </c>
      <c r="J180" t="s">
        <v>1941</v>
      </c>
      <c r="U180" t="s">
        <v>1586</v>
      </c>
    </row>
    <row r="181" spans="1:21" hidden="1" x14ac:dyDescent="0.25">
      <c r="A181">
        <v>732</v>
      </c>
      <c r="C181" t="s">
        <v>1555</v>
      </c>
      <c r="D181" t="s">
        <v>47</v>
      </c>
      <c r="E181" t="s">
        <v>32</v>
      </c>
      <c r="F181">
        <v>564.96100000000001</v>
      </c>
      <c r="G181">
        <v>573.76900000000001</v>
      </c>
      <c r="H181" s="3" t="s">
        <v>1635</v>
      </c>
      <c r="I181" t="s">
        <v>1932</v>
      </c>
      <c r="J181" t="s">
        <v>2053</v>
      </c>
      <c r="U181" t="s">
        <v>1636</v>
      </c>
    </row>
    <row r="182" spans="1:21" hidden="1" x14ac:dyDescent="0.25">
      <c r="A182">
        <v>733</v>
      </c>
      <c r="C182" t="s">
        <v>1555</v>
      </c>
      <c r="D182" t="s">
        <v>47</v>
      </c>
      <c r="E182" t="s">
        <v>35</v>
      </c>
      <c r="F182">
        <v>717.92</v>
      </c>
      <c r="G182">
        <v>731.55499999999995</v>
      </c>
      <c r="H182" s="3" t="s">
        <v>1637</v>
      </c>
      <c r="I182" t="s">
        <v>1932</v>
      </c>
      <c r="J182" t="s">
        <v>1948</v>
      </c>
      <c r="U182" t="s">
        <v>1638</v>
      </c>
    </row>
    <row r="183" spans="1:21" hidden="1" x14ac:dyDescent="0.25">
      <c r="A183">
        <v>734</v>
      </c>
      <c r="C183" t="s">
        <v>1555</v>
      </c>
      <c r="D183" t="s">
        <v>47</v>
      </c>
      <c r="E183" t="s">
        <v>38</v>
      </c>
      <c r="F183">
        <v>763.42200000000003</v>
      </c>
      <c r="G183">
        <v>772.20100000000002</v>
      </c>
      <c r="H183" s="3" t="s">
        <v>1639</v>
      </c>
      <c r="I183" t="s">
        <v>1932</v>
      </c>
      <c r="J183" t="s">
        <v>2101</v>
      </c>
      <c r="U183" t="s">
        <v>1640</v>
      </c>
    </row>
    <row r="184" spans="1:21" hidden="1" x14ac:dyDescent="0.25">
      <c r="A184">
        <v>708</v>
      </c>
      <c r="C184" t="s">
        <v>1555</v>
      </c>
      <c r="D184" t="s">
        <v>19</v>
      </c>
      <c r="E184" t="s">
        <v>97</v>
      </c>
      <c r="F184">
        <v>769.90800000000002</v>
      </c>
      <c r="G184">
        <v>779.42700000000002</v>
      </c>
      <c r="H184" s="3" t="s">
        <v>1587</v>
      </c>
      <c r="I184" t="s">
        <v>1932</v>
      </c>
      <c r="J184" t="s">
        <v>2101</v>
      </c>
      <c r="U184" t="s">
        <v>1588</v>
      </c>
    </row>
    <row r="185" spans="1:21" hidden="1" x14ac:dyDescent="0.25">
      <c r="A185">
        <v>709</v>
      </c>
      <c r="C185" t="s">
        <v>1555</v>
      </c>
      <c r="D185" t="s">
        <v>19</v>
      </c>
      <c r="E185" t="s">
        <v>100</v>
      </c>
      <c r="F185">
        <v>843.10599999999999</v>
      </c>
      <c r="G185">
        <v>854.35799999999995</v>
      </c>
      <c r="H185" s="3" t="s">
        <v>1589</v>
      </c>
      <c r="I185" t="s">
        <v>1932</v>
      </c>
      <c r="J185" t="s">
        <v>1947</v>
      </c>
      <c r="U185" t="s">
        <v>1590</v>
      </c>
    </row>
    <row r="186" spans="1:21" hidden="1" x14ac:dyDescent="0.25">
      <c r="A186">
        <v>735</v>
      </c>
      <c r="C186" t="s">
        <v>1555</v>
      </c>
      <c r="D186" t="s">
        <v>47</v>
      </c>
      <c r="E186" t="s">
        <v>41</v>
      </c>
      <c r="F186">
        <v>857.08500000000004</v>
      </c>
      <c r="G186">
        <v>865.78700000000003</v>
      </c>
      <c r="H186" s="3" t="s">
        <v>1641</v>
      </c>
      <c r="I186" t="s">
        <v>1932</v>
      </c>
      <c r="J186" t="s">
        <v>2114</v>
      </c>
      <c r="U186" t="s">
        <v>1642</v>
      </c>
    </row>
    <row r="187" spans="1:21" hidden="1" x14ac:dyDescent="0.25">
      <c r="A187">
        <v>710</v>
      </c>
      <c r="C187" t="s">
        <v>1555</v>
      </c>
      <c r="D187" t="s">
        <v>19</v>
      </c>
      <c r="E187" t="s">
        <v>103</v>
      </c>
      <c r="F187">
        <v>889.76599999999996</v>
      </c>
      <c r="G187">
        <v>898.90899999999999</v>
      </c>
      <c r="H187" s="3" t="s">
        <v>1591</v>
      </c>
      <c r="I187" t="s">
        <v>1932</v>
      </c>
      <c r="J187" t="s">
        <v>2101</v>
      </c>
      <c r="U187" t="s">
        <v>1592</v>
      </c>
    </row>
    <row r="188" spans="1:21" hidden="1" x14ac:dyDescent="0.25">
      <c r="A188">
        <v>711</v>
      </c>
      <c r="C188" t="s">
        <v>1555</v>
      </c>
      <c r="D188" t="s">
        <v>19</v>
      </c>
      <c r="E188" t="s">
        <v>106</v>
      </c>
      <c r="F188">
        <v>909.11199999999997</v>
      </c>
      <c r="G188">
        <v>920.625</v>
      </c>
      <c r="H188" s="3" t="s">
        <v>1593</v>
      </c>
      <c r="I188" t="s">
        <v>1932</v>
      </c>
      <c r="J188" t="s">
        <v>1956</v>
      </c>
      <c r="U188" t="s">
        <v>1594</v>
      </c>
    </row>
    <row r="189" spans="1:21" hidden="1" x14ac:dyDescent="0.25">
      <c r="A189">
        <v>736</v>
      </c>
      <c r="C189" t="s">
        <v>1555</v>
      </c>
      <c r="D189" t="s">
        <v>47</v>
      </c>
      <c r="E189" t="s">
        <v>44</v>
      </c>
      <c r="F189">
        <v>913.71799999999996</v>
      </c>
      <c r="G189">
        <v>925.39099999999996</v>
      </c>
      <c r="H189" s="3" t="s">
        <v>1643</v>
      </c>
      <c r="I189" t="s">
        <v>1932</v>
      </c>
      <c r="J189" t="s">
        <v>2101</v>
      </c>
      <c r="U189" t="s">
        <v>1644</v>
      </c>
    </row>
    <row r="190" spans="1:21" hidden="1" x14ac:dyDescent="0.25">
      <c r="A190">
        <v>737</v>
      </c>
      <c r="C190" t="s">
        <v>1555</v>
      </c>
      <c r="D190" t="s">
        <v>47</v>
      </c>
      <c r="E190" t="s">
        <v>85</v>
      </c>
      <c r="F190">
        <v>929.79</v>
      </c>
      <c r="G190">
        <v>940.81600000000003</v>
      </c>
      <c r="H190" s="3" t="s">
        <v>1645</v>
      </c>
      <c r="I190" t="s">
        <v>1932</v>
      </c>
      <c r="J190" t="s">
        <v>1947</v>
      </c>
      <c r="U190" t="s">
        <v>1646</v>
      </c>
    </row>
    <row r="191" spans="1:21" hidden="1" x14ac:dyDescent="0.25">
      <c r="A191">
        <v>712</v>
      </c>
      <c r="C191" t="s">
        <v>1555</v>
      </c>
      <c r="D191" t="s">
        <v>19</v>
      </c>
      <c r="E191" t="s">
        <v>109</v>
      </c>
      <c r="F191">
        <v>1193.211</v>
      </c>
      <c r="G191">
        <v>1204.45</v>
      </c>
      <c r="H191" s="3" t="s">
        <v>1595</v>
      </c>
      <c r="I191" t="s">
        <v>1932</v>
      </c>
      <c r="J191" t="s">
        <v>1957</v>
      </c>
      <c r="U191" t="s">
        <v>1596</v>
      </c>
    </row>
    <row r="192" spans="1:21" hidden="1" x14ac:dyDescent="0.25">
      <c r="A192">
        <v>738</v>
      </c>
      <c r="C192" t="s">
        <v>1555</v>
      </c>
      <c r="D192" t="s">
        <v>47</v>
      </c>
      <c r="E192" t="s">
        <v>88</v>
      </c>
      <c r="F192">
        <v>1264.8409999999999</v>
      </c>
      <c r="G192">
        <v>1273.548</v>
      </c>
      <c r="H192" s="3" t="s">
        <v>1647</v>
      </c>
      <c r="I192" t="s">
        <v>1932</v>
      </c>
      <c r="J192" t="s">
        <v>1961</v>
      </c>
      <c r="U192" t="s">
        <v>1648</v>
      </c>
    </row>
    <row r="193" spans="1:21" hidden="1" x14ac:dyDescent="0.25">
      <c r="A193">
        <v>713</v>
      </c>
      <c r="C193" t="s">
        <v>1555</v>
      </c>
      <c r="D193" t="s">
        <v>19</v>
      </c>
      <c r="E193" t="s">
        <v>112</v>
      </c>
      <c r="F193">
        <v>1776.117</v>
      </c>
      <c r="G193">
        <v>1787.078</v>
      </c>
      <c r="H193" s="3" t="s">
        <v>1597</v>
      </c>
      <c r="I193" t="s">
        <v>1932</v>
      </c>
      <c r="J193" t="s">
        <v>1961</v>
      </c>
      <c r="U193" t="s">
        <v>1598</v>
      </c>
    </row>
    <row r="194" spans="1:21" hidden="1" x14ac:dyDescent="0.25">
      <c r="A194">
        <v>739</v>
      </c>
      <c r="C194" t="s">
        <v>1555</v>
      </c>
      <c r="D194" t="s">
        <v>47</v>
      </c>
      <c r="E194" t="s">
        <v>91</v>
      </c>
      <c r="F194">
        <v>1864.4190000000001</v>
      </c>
      <c r="G194">
        <v>1872.894</v>
      </c>
      <c r="H194" s="3" t="s">
        <v>1649</v>
      </c>
      <c r="I194" t="s">
        <v>1932</v>
      </c>
      <c r="J194" t="s">
        <v>1948</v>
      </c>
      <c r="U194" t="s">
        <v>1650</v>
      </c>
    </row>
    <row r="195" spans="1:21" hidden="1" x14ac:dyDescent="0.25">
      <c r="A195">
        <v>715</v>
      </c>
      <c r="C195" t="s">
        <v>1555</v>
      </c>
      <c r="D195" t="s">
        <v>19</v>
      </c>
      <c r="E195" t="s">
        <v>178</v>
      </c>
      <c r="F195">
        <v>2176.9920000000002</v>
      </c>
      <c r="G195">
        <v>2186.4209999999998</v>
      </c>
      <c r="H195" s="3" t="s">
        <v>1601</v>
      </c>
      <c r="I195" t="s">
        <v>1932</v>
      </c>
      <c r="J195" t="s">
        <v>1952</v>
      </c>
      <c r="U195" t="s">
        <v>1602</v>
      </c>
    </row>
    <row r="196" spans="1:21" hidden="1" x14ac:dyDescent="0.25">
      <c r="A196">
        <v>740</v>
      </c>
      <c r="C196" t="s">
        <v>1555</v>
      </c>
      <c r="D196" t="s">
        <v>47</v>
      </c>
      <c r="E196" t="s">
        <v>94</v>
      </c>
      <c r="F196">
        <v>2230.9430000000002</v>
      </c>
      <c r="G196">
        <v>2242.6559999999999</v>
      </c>
      <c r="H196" s="3" t="s">
        <v>1651</v>
      </c>
      <c r="I196" t="s">
        <v>1932</v>
      </c>
      <c r="J196" t="s">
        <v>1961</v>
      </c>
      <c r="U196" t="s">
        <v>1652</v>
      </c>
    </row>
    <row r="197" spans="1:21" hidden="1" x14ac:dyDescent="0.25">
      <c r="A197">
        <v>741</v>
      </c>
      <c r="C197" t="s">
        <v>1555</v>
      </c>
      <c r="D197" t="s">
        <v>47</v>
      </c>
      <c r="E197" t="s">
        <v>97</v>
      </c>
      <c r="F197">
        <v>2291.2910000000002</v>
      </c>
      <c r="G197">
        <v>2300.6030000000001</v>
      </c>
      <c r="H197" s="3" t="s">
        <v>1653</v>
      </c>
      <c r="I197" t="s">
        <v>1932</v>
      </c>
      <c r="J197" t="s">
        <v>1961</v>
      </c>
      <c r="U197" t="s">
        <v>1654</v>
      </c>
    </row>
    <row r="198" spans="1:21" hidden="1" x14ac:dyDescent="0.25">
      <c r="A198">
        <v>716</v>
      </c>
      <c r="C198" t="s">
        <v>1555</v>
      </c>
      <c r="D198" t="s">
        <v>19</v>
      </c>
      <c r="E198" t="s">
        <v>181</v>
      </c>
      <c r="F198">
        <v>2468.5569999999998</v>
      </c>
      <c r="G198">
        <v>2479.7649999999999</v>
      </c>
      <c r="H198" s="3" t="s">
        <v>1603</v>
      </c>
      <c r="I198" t="s">
        <v>1932</v>
      </c>
      <c r="J198" t="s">
        <v>2101</v>
      </c>
      <c r="U198" t="s">
        <v>1604</v>
      </c>
    </row>
    <row r="199" spans="1:21" hidden="1" x14ac:dyDescent="0.25">
      <c r="A199">
        <v>727</v>
      </c>
      <c r="C199" t="s">
        <v>1555</v>
      </c>
      <c r="D199" t="s">
        <v>118</v>
      </c>
      <c r="E199" t="s">
        <v>23</v>
      </c>
      <c r="F199">
        <v>2559.527</v>
      </c>
      <c r="G199">
        <v>2568.241</v>
      </c>
      <c r="H199" s="3" t="s">
        <v>1625</v>
      </c>
      <c r="I199" t="s">
        <v>1932</v>
      </c>
      <c r="J199" t="s">
        <v>2053</v>
      </c>
      <c r="U199" t="s">
        <v>1626</v>
      </c>
    </row>
    <row r="200" spans="1:21" hidden="1" x14ac:dyDescent="0.25">
      <c r="A200">
        <v>717</v>
      </c>
      <c r="C200" t="s">
        <v>1555</v>
      </c>
      <c r="D200" t="s">
        <v>19</v>
      </c>
      <c r="E200" t="s">
        <v>184</v>
      </c>
      <c r="F200">
        <v>2888.2249999999999</v>
      </c>
      <c r="G200">
        <v>2898.7049999999999</v>
      </c>
      <c r="H200" s="3" t="s">
        <v>1605</v>
      </c>
      <c r="I200" t="s">
        <v>1932</v>
      </c>
      <c r="J200" t="s">
        <v>1948</v>
      </c>
      <c r="U200" t="s">
        <v>1606</v>
      </c>
    </row>
    <row r="201" spans="1:21" hidden="1" x14ac:dyDescent="0.25">
      <c r="A201">
        <v>718</v>
      </c>
      <c r="C201" t="s">
        <v>1555</v>
      </c>
      <c r="D201" t="s">
        <v>19</v>
      </c>
      <c r="E201" t="s">
        <v>187</v>
      </c>
      <c r="F201">
        <v>2901.027</v>
      </c>
      <c r="G201">
        <v>2913.26</v>
      </c>
      <c r="H201" s="3" t="s">
        <v>1607</v>
      </c>
      <c r="I201" t="s">
        <v>1932</v>
      </c>
      <c r="J201" t="s">
        <v>1940</v>
      </c>
      <c r="U201" t="s">
        <v>1608</v>
      </c>
    </row>
    <row r="202" spans="1:21" hidden="1" x14ac:dyDescent="0.25">
      <c r="A202">
        <v>742</v>
      </c>
      <c r="C202" t="s">
        <v>1555</v>
      </c>
      <c r="D202" t="s">
        <v>47</v>
      </c>
      <c r="E202" t="s">
        <v>100</v>
      </c>
      <c r="F202">
        <v>2936.6660000000002</v>
      </c>
      <c r="G202">
        <v>2946.3409999999999</v>
      </c>
      <c r="H202" s="3" t="s">
        <v>1655</v>
      </c>
      <c r="I202" t="s">
        <v>1932</v>
      </c>
      <c r="J202" t="s">
        <v>1952</v>
      </c>
      <c r="S202" t="s">
        <v>2197</v>
      </c>
      <c r="U202" t="s">
        <v>1656</v>
      </c>
    </row>
    <row r="203" spans="1:21" hidden="1" x14ac:dyDescent="0.25">
      <c r="A203">
        <v>719</v>
      </c>
      <c r="C203" t="s">
        <v>1555</v>
      </c>
      <c r="D203" t="s">
        <v>19</v>
      </c>
      <c r="E203" t="s">
        <v>190</v>
      </c>
      <c r="F203">
        <v>2942.5880000000002</v>
      </c>
      <c r="G203">
        <v>2952.2930000000001</v>
      </c>
      <c r="H203" s="3" t="s">
        <v>1609</v>
      </c>
      <c r="I203" t="s">
        <v>1932</v>
      </c>
      <c r="J203" t="s">
        <v>1954</v>
      </c>
      <c r="U203" t="s">
        <v>1610</v>
      </c>
    </row>
    <row r="204" spans="1:21" hidden="1" x14ac:dyDescent="0.25">
      <c r="A204">
        <v>720</v>
      </c>
      <c r="C204" t="s">
        <v>1555</v>
      </c>
      <c r="D204" t="s">
        <v>19</v>
      </c>
      <c r="E204" t="s">
        <v>193</v>
      </c>
      <c r="F204">
        <v>2949.59</v>
      </c>
      <c r="G204">
        <v>2958.2269999999999</v>
      </c>
      <c r="H204" s="3" t="s">
        <v>1611</v>
      </c>
      <c r="I204" t="s">
        <v>1932</v>
      </c>
      <c r="J204" t="s">
        <v>2101</v>
      </c>
      <c r="U204" t="s">
        <v>1612</v>
      </c>
    </row>
    <row r="205" spans="1:21" hidden="1" x14ac:dyDescent="0.25">
      <c r="A205">
        <v>721</v>
      </c>
      <c r="C205" t="s">
        <v>1555</v>
      </c>
      <c r="D205" t="s">
        <v>19</v>
      </c>
      <c r="E205" t="s">
        <v>581</v>
      </c>
      <c r="F205">
        <v>3183.627</v>
      </c>
      <c r="G205">
        <v>3193.1990000000001</v>
      </c>
      <c r="H205" s="3" t="s">
        <v>1613</v>
      </c>
      <c r="I205" t="s">
        <v>1932</v>
      </c>
      <c r="J205" t="s">
        <v>1952</v>
      </c>
      <c r="U205" t="s">
        <v>1614</v>
      </c>
    </row>
    <row r="206" spans="1:21" hidden="1" x14ac:dyDescent="0.25">
      <c r="A206">
        <v>722</v>
      </c>
      <c r="C206" t="s">
        <v>1555</v>
      </c>
      <c r="D206" t="s">
        <v>19</v>
      </c>
      <c r="E206" t="s">
        <v>584</v>
      </c>
      <c r="F206">
        <v>3408.375</v>
      </c>
      <c r="G206">
        <v>3421.8290000000002</v>
      </c>
      <c r="H206" s="3" t="s">
        <v>1615</v>
      </c>
      <c r="I206" t="s">
        <v>1932</v>
      </c>
      <c r="J206" t="s">
        <v>2101</v>
      </c>
      <c r="U206" t="s">
        <v>1616</v>
      </c>
    </row>
    <row r="207" spans="1:21" hidden="1" x14ac:dyDescent="0.25">
      <c r="A207">
        <v>723</v>
      </c>
      <c r="C207" t="s">
        <v>1555</v>
      </c>
      <c r="D207" t="s">
        <v>19</v>
      </c>
      <c r="E207" t="s">
        <v>587</v>
      </c>
      <c r="F207">
        <v>3560.1619999999998</v>
      </c>
      <c r="G207">
        <v>3572.1219999999998</v>
      </c>
      <c r="H207" s="3" t="s">
        <v>1617</v>
      </c>
      <c r="I207" t="s">
        <v>1932</v>
      </c>
      <c r="J207" t="s">
        <v>2101</v>
      </c>
      <c r="U207" t="s">
        <v>1618</v>
      </c>
    </row>
    <row r="208" spans="1:21" hidden="1" x14ac:dyDescent="0.25">
      <c r="A208">
        <v>743</v>
      </c>
      <c r="C208" t="s">
        <v>1555</v>
      </c>
      <c r="D208" t="s">
        <v>47</v>
      </c>
      <c r="E208" t="s">
        <v>103</v>
      </c>
      <c r="F208">
        <v>3569.223</v>
      </c>
      <c r="G208">
        <v>3577.9110000000001</v>
      </c>
      <c r="H208" s="3" t="s">
        <v>1657</v>
      </c>
      <c r="I208" t="s">
        <v>1932</v>
      </c>
      <c r="J208" t="s">
        <v>2101</v>
      </c>
      <c r="U208" t="s">
        <v>1658</v>
      </c>
    </row>
    <row r="209" spans="1:22" hidden="1" x14ac:dyDescent="0.25">
      <c r="A209">
        <v>724</v>
      </c>
      <c r="C209" t="s">
        <v>1555</v>
      </c>
      <c r="D209" t="s">
        <v>19</v>
      </c>
      <c r="E209" t="s">
        <v>590</v>
      </c>
      <c r="F209">
        <v>3583.59</v>
      </c>
      <c r="G209">
        <v>3593.0189999999998</v>
      </c>
      <c r="H209" s="3" t="s">
        <v>1619</v>
      </c>
      <c r="I209" t="s">
        <v>1932</v>
      </c>
      <c r="J209" t="s">
        <v>2101</v>
      </c>
      <c r="U209" t="s">
        <v>1620</v>
      </c>
    </row>
    <row r="210" spans="1:22" hidden="1" x14ac:dyDescent="0.25">
      <c r="A210">
        <v>725</v>
      </c>
      <c r="C210" t="s">
        <v>1555</v>
      </c>
      <c r="D210" t="s">
        <v>19</v>
      </c>
      <c r="E210" t="s">
        <v>593</v>
      </c>
      <c r="F210">
        <v>3618.9659999999999</v>
      </c>
      <c r="G210">
        <v>3627.5369999999998</v>
      </c>
      <c r="H210" s="3" t="s">
        <v>1621</v>
      </c>
      <c r="I210" t="s">
        <v>1932</v>
      </c>
      <c r="J210" t="s">
        <v>2101</v>
      </c>
      <c r="U210" t="s">
        <v>1622</v>
      </c>
    </row>
    <row r="211" spans="1:22" hidden="1" x14ac:dyDescent="0.25">
      <c r="A211">
        <v>188</v>
      </c>
      <c r="C211" t="s">
        <v>449</v>
      </c>
      <c r="D211" t="s">
        <v>19</v>
      </c>
      <c r="E211" t="s">
        <v>20</v>
      </c>
      <c r="F211">
        <v>841.42600000000004</v>
      </c>
      <c r="G211">
        <v>849.86300000000006</v>
      </c>
      <c r="H211" s="3" t="s">
        <v>450</v>
      </c>
      <c r="I211" t="s">
        <v>1932</v>
      </c>
      <c r="J211" t="s">
        <v>1944</v>
      </c>
      <c r="U211" t="s">
        <v>451</v>
      </c>
    </row>
    <row r="212" spans="1:22" hidden="1" x14ac:dyDescent="0.25">
      <c r="A212">
        <v>189</v>
      </c>
      <c r="C212" t="s">
        <v>449</v>
      </c>
      <c r="D212" t="s">
        <v>19</v>
      </c>
      <c r="E212" t="s">
        <v>23</v>
      </c>
      <c r="F212">
        <v>1580.5239999999999</v>
      </c>
      <c r="G212">
        <v>1589.096</v>
      </c>
      <c r="H212" s="3" t="s">
        <v>452</v>
      </c>
      <c r="I212" t="s">
        <v>1932</v>
      </c>
      <c r="J212" t="s">
        <v>1940</v>
      </c>
      <c r="U212" t="s">
        <v>453</v>
      </c>
    </row>
    <row r="213" spans="1:22" hidden="1" x14ac:dyDescent="0.25">
      <c r="A213">
        <v>193</v>
      </c>
      <c r="C213" t="s">
        <v>449</v>
      </c>
      <c r="D213" t="s">
        <v>47</v>
      </c>
      <c r="E213" t="s">
        <v>26</v>
      </c>
      <c r="F213">
        <v>2635.7829999999999</v>
      </c>
      <c r="G213">
        <v>2644.6280000000002</v>
      </c>
      <c r="H213" s="3" t="s">
        <v>460</v>
      </c>
      <c r="I213" t="s">
        <v>1932</v>
      </c>
      <c r="J213" t="s">
        <v>1957</v>
      </c>
      <c r="U213" t="s">
        <v>461</v>
      </c>
    </row>
    <row r="214" spans="1:22" hidden="1" x14ac:dyDescent="0.25">
      <c r="A214">
        <v>195</v>
      </c>
      <c r="C214" t="s">
        <v>449</v>
      </c>
      <c r="D214" t="s">
        <v>47</v>
      </c>
      <c r="E214" t="s">
        <v>32</v>
      </c>
      <c r="F214">
        <v>3258.7469999999998</v>
      </c>
      <c r="G214">
        <v>3270.3429999999998</v>
      </c>
      <c r="H214" s="3" t="s">
        <v>464</v>
      </c>
      <c r="I214" t="s">
        <v>1932</v>
      </c>
      <c r="J214" t="s">
        <v>1952</v>
      </c>
      <c r="U214" t="s">
        <v>465</v>
      </c>
    </row>
    <row r="215" spans="1:22" hidden="1" x14ac:dyDescent="0.25">
      <c r="A215">
        <v>190</v>
      </c>
      <c r="C215" t="s">
        <v>449</v>
      </c>
      <c r="D215" t="s">
        <v>19</v>
      </c>
      <c r="E215" t="s">
        <v>26</v>
      </c>
      <c r="F215">
        <v>3436.0810000000001</v>
      </c>
      <c r="G215">
        <v>3445.62</v>
      </c>
      <c r="H215" s="3" t="s">
        <v>454</v>
      </c>
      <c r="I215" t="s">
        <v>1932</v>
      </c>
      <c r="J215" t="s">
        <v>1954</v>
      </c>
      <c r="U215" t="s">
        <v>455</v>
      </c>
    </row>
    <row r="216" spans="1:22" hidden="1" x14ac:dyDescent="0.25">
      <c r="A216">
        <v>209</v>
      </c>
      <c r="C216" t="s">
        <v>466</v>
      </c>
      <c r="D216" t="s">
        <v>47</v>
      </c>
      <c r="E216" t="s">
        <v>23</v>
      </c>
      <c r="F216">
        <v>250.846</v>
      </c>
      <c r="G216">
        <v>259.56900000000002</v>
      </c>
      <c r="H216" s="3" t="s">
        <v>494</v>
      </c>
      <c r="I216" t="s">
        <v>1932</v>
      </c>
      <c r="J216" t="s">
        <v>1947</v>
      </c>
      <c r="U216" t="s">
        <v>495</v>
      </c>
      <c r="V216" t="s">
        <v>496</v>
      </c>
    </row>
    <row r="217" spans="1:22" hidden="1" x14ac:dyDescent="0.25">
      <c r="A217">
        <v>197</v>
      </c>
      <c r="C217" t="s">
        <v>466</v>
      </c>
      <c r="D217" t="s">
        <v>19</v>
      </c>
      <c r="E217" t="s">
        <v>23</v>
      </c>
      <c r="F217">
        <v>383.904</v>
      </c>
      <c r="G217">
        <v>397.39400000000001</v>
      </c>
      <c r="H217" s="3" t="s">
        <v>469</v>
      </c>
      <c r="I217" t="s">
        <v>1932</v>
      </c>
      <c r="J217" t="s">
        <v>2054</v>
      </c>
      <c r="U217" t="s">
        <v>470</v>
      </c>
    </row>
    <row r="218" spans="1:22" hidden="1" x14ac:dyDescent="0.25">
      <c r="A218">
        <v>200</v>
      </c>
      <c r="C218" t="s">
        <v>466</v>
      </c>
      <c r="D218" t="s">
        <v>19</v>
      </c>
      <c r="E218" t="s">
        <v>32</v>
      </c>
      <c r="F218">
        <v>747.71699999999998</v>
      </c>
      <c r="G218">
        <v>757.11800000000005</v>
      </c>
      <c r="H218" s="3" t="s">
        <v>475</v>
      </c>
      <c r="I218" t="s">
        <v>1932</v>
      </c>
      <c r="J218" t="s">
        <v>2101</v>
      </c>
      <c r="U218" t="s">
        <v>476</v>
      </c>
    </row>
    <row r="219" spans="1:22" hidden="1" x14ac:dyDescent="0.25">
      <c r="A219">
        <v>219</v>
      </c>
      <c r="C219" t="s">
        <v>466</v>
      </c>
      <c r="D219" t="s">
        <v>47</v>
      </c>
      <c r="E219" t="s">
        <v>91</v>
      </c>
      <c r="F219">
        <v>2574.1999999999998</v>
      </c>
      <c r="G219">
        <v>2582.8560000000002</v>
      </c>
      <c r="H219" s="3" t="s">
        <v>515</v>
      </c>
      <c r="I219" t="s">
        <v>1932</v>
      </c>
      <c r="J219" t="s">
        <v>1947</v>
      </c>
      <c r="L219" t="s">
        <v>1932</v>
      </c>
      <c r="M219" t="s">
        <v>1932</v>
      </c>
      <c r="N219" t="s">
        <v>1932</v>
      </c>
      <c r="O219" t="s">
        <v>1936</v>
      </c>
      <c r="P219" t="s">
        <v>2095</v>
      </c>
      <c r="Q219">
        <v>4</v>
      </c>
      <c r="T219" t="s">
        <v>2112</v>
      </c>
      <c r="U219" t="s">
        <v>516</v>
      </c>
    </row>
    <row r="220" spans="1:22" hidden="1" x14ac:dyDescent="0.25">
      <c r="A220">
        <v>208</v>
      </c>
      <c r="C220" t="s">
        <v>466</v>
      </c>
      <c r="D220" t="s">
        <v>47</v>
      </c>
      <c r="E220" t="s">
        <v>20</v>
      </c>
      <c r="F220">
        <v>113.877</v>
      </c>
      <c r="G220">
        <v>122.301</v>
      </c>
      <c r="H220" s="3" t="s">
        <v>491</v>
      </c>
      <c r="I220" t="s">
        <v>1932</v>
      </c>
      <c r="J220" t="s">
        <v>1947</v>
      </c>
      <c r="U220" t="s">
        <v>492</v>
      </c>
      <c r="V220" t="s">
        <v>493</v>
      </c>
    </row>
    <row r="221" spans="1:22" hidden="1" x14ac:dyDescent="0.25">
      <c r="A221">
        <v>196</v>
      </c>
      <c r="C221" t="s">
        <v>466</v>
      </c>
      <c r="D221" t="s">
        <v>19</v>
      </c>
      <c r="E221" t="s">
        <v>20</v>
      </c>
      <c r="F221">
        <v>330.71100000000001</v>
      </c>
      <c r="G221">
        <v>341.00200000000001</v>
      </c>
      <c r="H221" s="3" t="s">
        <v>467</v>
      </c>
      <c r="I221" t="s">
        <v>1932</v>
      </c>
      <c r="J221" t="s">
        <v>1940</v>
      </c>
      <c r="U221" t="s">
        <v>468</v>
      </c>
    </row>
    <row r="222" spans="1:22" hidden="1" x14ac:dyDescent="0.25">
      <c r="A222">
        <v>211</v>
      </c>
      <c r="C222" t="s">
        <v>466</v>
      </c>
      <c r="D222" t="s">
        <v>47</v>
      </c>
      <c r="E222" t="s">
        <v>29</v>
      </c>
      <c r="F222">
        <v>356.42200000000003</v>
      </c>
      <c r="G222">
        <v>366.40899999999999</v>
      </c>
      <c r="H222" s="3" t="s">
        <v>499</v>
      </c>
      <c r="I222" t="s">
        <v>1932</v>
      </c>
      <c r="J222" t="s">
        <v>1947</v>
      </c>
      <c r="U222" t="s">
        <v>500</v>
      </c>
    </row>
    <row r="223" spans="1:22" hidden="1" x14ac:dyDescent="0.25">
      <c r="A223">
        <v>198</v>
      </c>
      <c r="C223" t="s">
        <v>466</v>
      </c>
      <c r="D223" t="s">
        <v>19</v>
      </c>
      <c r="E223" t="s">
        <v>26</v>
      </c>
      <c r="F223">
        <v>403.88099999999997</v>
      </c>
      <c r="G223">
        <v>417.38499999999999</v>
      </c>
      <c r="H223" s="3" t="s">
        <v>471</v>
      </c>
      <c r="I223" t="s">
        <v>1932</v>
      </c>
      <c r="J223" t="s">
        <v>1947</v>
      </c>
      <c r="U223" t="s">
        <v>472</v>
      </c>
    </row>
    <row r="224" spans="1:22" hidden="1" x14ac:dyDescent="0.25">
      <c r="A224">
        <v>199</v>
      </c>
      <c r="C224" t="s">
        <v>466</v>
      </c>
      <c r="D224" t="s">
        <v>19</v>
      </c>
      <c r="E224" t="s">
        <v>29</v>
      </c>
      <c r="F224">
        <v>508.93400000000003</v>
      </c>
      <c r="G224">
        <v>520.26700000000005</v>
      </c>
      <c r="H224" s="3" t="s">
        <v>473</v>
      </c>
      <c r="I224" t="s">
        <v>1932</v>
      </c>
      <c r="J224" t="s">
        <v>1940</v>
      </c>
      <c r="U224" t="s">
        <v>474</v>
      </c>
    </row>
    <row r="225" spans="1:22" hidden="1" x14ac:dyDescent="0.25">
      <c r="A225">
        <v>212</v>
      </c>
      <c r="C225" t="s">
        <v>466</v>
      </c>
      <c r="D225" t="s">
        <v>47</v>
      </c>
      <c r="E225" t="s">
        <v>32</v>
      </c>
      <c r="F225">
        <v>841.53200000000004</v>
      </c>
      <c r="G225">
        <v>850.19200000000001</v>
      </c>
      <c r="H225" s="3" t="s">
        <v>501</v>
      </c>
      <c r="I225" t="s">
        <v>1932</v>
      </c>
      <c r="J225" t="s">
        <v>1957</v>
      </c>
      <c r="U225" t="s">
        <v>502</v>
      </c>
    </row>
    <row r="226" spans="1:22" hidden="1" x14ac:dyDescent="0.25">
      <c r="A226">
        <v>213</v>
      </c>
      <c r="C226" t="s">
        <v>466</v>
      </c>
      <c r="D226" t="s">
        <v>47</v>
      </c>
      <c r="E226" t="s">
        <v>35</v>
      </c>
      <c r="F226">
        <v>934.03</v>
      </c>
      <c r="G226">
        <v>943.94600000000003</v>
      </c>
      <c r="H226" s="3" t="s">
        <v>503</v>
      </c>
      <c r="I226" t="s">
        <v>1932</v>
      </c>
      <c r="J226" t="s">
        <v>2101</v>
      </c>
      <c r="U226" t="s">
        <v>504</v>
      </c>
    </row>
    <row r="227" spans="1:22" hidden="1" x14ac:dyDescent="0.25">
      <c r="A227">
        <v>214</v>
      </c>
      <c r="C227" t="s">
        <v>466</v>
      </c>
      <c r="D227" t="s">
        <v>47</v>
      </c>
      <c r="E227" t="s">
        <v>38</v>
      </c>
      <c r="F227">
        <v>1869.828</v>
      </c>
      <c r="G227">
        <v>1879.0260000000001</v>
      </c>
      <c r="H227" s="3" t="s">
        <v>505</v>
      </c>
      <c r="I227" t="s">
        <v>1932</v>
      </c>
      <c r="J227" t="s">
        <v>2101</v>
      </c>
      <c r="U227" t="s">
        <v>506</v>
      </c>
    </row>
    <row r="228" spans="1:22" hidden="1" x14ac:dyDescent="0.25">
      <c r="A228">
        <v>201</v>
      </c>
      <c r="C228" t="s">
        <v>466</v>
      </c>
      <c r="D228" t="s">
        <v>19</v>
      </c>
      <c r="E228" t="s">
        <v>35</v>
      </c>
      <c r="F228">
        <v>1881.875</v>
      </c>
      <c r="G228">
        <v>1891.0139999999999</v>
      </c>
      <c r="H228" s="3" t="s">
        <v>477</v>
      </c>
      <c r="I228" t="s">
        <v>1932</v>
      </c>
      <c r="J228" t="s">
        <v>1947</v>
      </c>
      <c r="U228" t="s">
        <v>478</v>
      </c>
    </row>
    <row r="229" spans="1:22" hidden="1" x14ac:dyDescent="0.25">
      <c r="A229">
        <v>215</v>
      </c>
      <c r="C229" t="s">
        <v>466</v>
      </c>
      <c r="D229" t="s">
        <v>47</v>
      </c>
      <c r="E229" t="s">
        <v>41</v>
      </c>
      <c r="F229">
        <v>1951.9570000000001</v>
      </c>
      <c r="G229">
        <v>1960.5350000000001</v>
      </c>
      <c r="H229" s="3" t="s">
        <v>507</v>
      </c>
      <c r="I229" t="s">
        <v>1932</v>
      </c>
      <c r="J229" t="s">
        <v>1947</v>
      </c>
      <c r="U229" t="s">
        <v>508</v>
      </c>
    </row>
    <row r="230" spans="1:22" hidden="1" x14ac:dyDescent="0.25">
      <c r="A230">
        <v>216</v>
      </c>
      <c r="C230" t="s">
        <v>466</v>
      </c>
      <c r="D230" t="s">
        <v>47</v>
      </c>
      <c r="E230" t="s">
        <v>44</v>
      </c>
      <c r="F230">
        <v>2047.961</v>
      </c>
      <c r="G230">
        <v>2057.0949999999998</v>
      </c>
      <c r="H230" s="3" t="s">
        <v>509</v>
      </c>
      <c r="I230" t="s">
        <v>1932</v>
      </c>
      <c r="J230" t="s">
        <v>1948</v>
      </c>
      <c r="U230" t="s">
        <v>510</v>
      </c>
    </row>
    <row r="231" spans="1:22" hidden="1" x14ac:dyDescent="0.25">
      <c r="A231">
        <v>217</v>
      </c>
      <c r="C231" t="s">
        <v>466</v>
      </c>
      <c r="D231" t="s">
        <v>47</v>
      </c>
      <c r="E231" t="s">
        <v>85</v>
      </c>
      <c r="F231">
        <v>2157.5720000000001</v>
      </c>
      <c r="G231">
        <v>2168.116</v>
      </c>
      <c r="H231" s="3" t="s">
        <v>511</v>
      </c>
      <c r="I231" t="s">
        <v>1932</v>
      </c>
      <c r="J231" t="s">
        <v>2101</v>
      </c>
      <c r="U231" t="s">
        <v>512</v>
      </c>
    </row>
    <row r="232" spans="1:22" hidden="1" x14ac:dyDescent="0.25">
      <c r="A232">
        <v>218</v>
      </c>
      <c r="C232" t="s">
        <v>466</v>
      </c>
      <c r="D232" t="s">
        <v>47</v>
      </c>
      <c r="E232" t="s">
        <v>88</v>
      </c>
      <c r="F232">
        <v>2161.0569999999998</v>
      </c>
      <c r="G232">
        <v>2171.9839999999999</v>
      </c>
      <c r="H232" s="3" t="s">
        <v>513</v>
      </c>
      <c r="I232" t="s">
        <v>1932</v>
      </c>
      <c r="J232" t="s">
        <v>2101</v>
      </c>
      <c r="U232" t="s">
        <v>514</v>
      </c>
    </row>
    <row r="233" spans="1:22" hidden="1" x14ac:dyDescent="0.25">
      <c r="A233">
        <v>203</v>
      </c>
      <c r="C233" t="s">
        <v>466</v>
      </c>
      <c r="D233" t="s">
        <v>19</v>
      </c>
      <c r="E233" t="s">
        <v>41</v>
      </c>
      <c r="F233">
        <v>2297.1799999999998</v>
      </c>
      <c r="G233">
        <v>2306.7710000000002</v>
      </c>
      <c r="H233" s="3" t="s">
        <v>481</v>
      </c>
      <c r="I233" t="s">
        <v>1932</v>
      </c>
      <c r="J233" t="s">
        <v>1947</v>
      </c>
      <c r="U233" t="s">
        <v>482</v>
      </c>
    </row>
    <row r="234" spans="1:22" hidden="1" x14ac:dyDescent="0.25">
      <c r="A234">
        <v>204</v>
      </c>
      <c r="C234" t="s">
        <v>466</v>
      </c>
      <c r="D234" t="s">
        <v>19</v>
      </c>
      <c r="E234" t="s">
        <v>44</v>
      </c>
      <c r="F234">
        <v>2315.0859999999998</v>
      </c>
      <c r="G234">
        <v>2323.8710000000001</v>
      </c>
      <c r="H234" s="3" t="s">
        <v>483</v>
      </c>
      <c r="I234" t="s">
        <v>1932</v>
      </c>
      <c r="J234" t="s">
        <v>1957</v>
      </c>
      <c r="U234" t="s">
        <v>484</v>
      </c>
    </row>
    <row r="235" spans="1:22" hidden="1" x14ac:dyDescent="0.25">
      <c r="A235">
        <v>205</v>
      </c>
      <c r="C235" t="s">
        <v>466</v>
      </c>
      <c r="D235" t="s">
        <v>19</v>
      </c>
      <c r="E235" t="s">
        <v>85</v>
      </c>
      <c r="F235">
        <v>2458.056</v>
      </c>
      <c r="G235">
        <v>2467.8339999999998</v>
      </c>
      <c r="H235" s="3" t="s">
        <v>485</v>
      </c>
      <c r="I235" t="s">
        <v>1932</v>
      </c>
      <c r="J235" t="s">
        <v>1940</v>
      </c>
      <c r="U235" t="s">
        <v>486</v>
      </c>
    </row>
    <row r="236" spans="1:22" hidden="1" x14ac:dyDescent="0.25">
      <c r="A236">
        <v>207</v>
      </c>
      <c r="C236" t="s">
        <v>466</v>
      </c>
      <c r="D236" t="s">
        <v>118</v>
      </c>
      <c r="E236" t="s">
        <v>20</v>
      </c>
      <c r="F236">
        <v>2697.7910000000002</v>
      </c>
      <c r="G236">
        <v>2708.0059999999999</v>
      </c>
      <c r="H236" s="3" t="s">
        <v>489</v>
      </c>
      <c r="I236" t="s">
        <v>1932</v>
      </c>
      <c r="J236" t="s">
        <v>1952</v>
      </c>
      <c r="U236" t="s">
        <v>490</v>
      </c>
    </row>
    <row r="237" spans="1:22" hidden="1" x14ac:dyDescent="0.25">
      <c r="A237">
        <v>220</v>
      </c>
      <c r="C237" t="s">
        <v>466</v>
      </c>
      <c r="D237" t="s">
        <v>47</v>
      </c>
      <c r="E237" t="s">
        <v>94</v>
      </c>
      <c r="F237">
        <v>2934.3879999999999</v>
      </c>
      <c r="G237">
        <v>2943.3139999999999</v>
      </c>
      <c r="H237" s="3" t="s">
        <v>517</v>
      </c>
      <c r="I237" t="s">
        <v>1932</v>
      </c>
      <c r="J237" t="s">
        <v>2101</v>
      </c>
      <c r="U237" t="s">
        <v>518</v>
      </c>
    </row>
    <row r="238" spans="1:22" hidden="1" x14ac:dyDescent="0.25">
      <c r="A238">
        <v>221</v>
      </c>
      <c r="C238" t="s">
        <v>466</v>
      </c>
      <c r="D238" t="s">
        <v>47</v>
      </c>
      <c r="E238" t="s">
        <v>97</v>
      </c>
      <c r="F238">
        <v>3400.3150000000001</v>
      </c>
      <c r="G238">
        <v>3410.1190000000001</v>
      </c>
      <c r="H238" s="3" t="s">
        <v>519</v>
      </c>
      <c r="I238" t="s">
        <v>1932</v>
      </c>
      <c r="J238" t="s">
        <v>2106</v>
      </c>
      <c r="U238" t="s">
        <v>520</v>
      </c>
    </row>
    <row r="239" spans="1:22" hidden="1" x14ac:dyDescent="0.25">
      <c r="A239">
        <v>206</v>
      </c>
      <c r="C239" t="s">
        <v>466</v>
      </c>
      <c r="D239" t="s">
        <v>19</v>
      </c>
      <c r="E239" t="s">
        <v>88</v>
      </c>
      <c r="F239">
        <v>3495.1529999999998</v>
      </c>
      <c r="G239">
        <v>3504.665</v>
      </c>
      <c r="H239" s="3" t="s">
        <v>487</v>
      </c>
      <c r="I239" t="s">
        <v>1932</v>
      </c>
      <c r="J239" t="s">
        <v>1940</v>
      </c>
      <c r="U239" t="s">
        <v>488</v>
      </c>
    </row>
    <row r="240" spans="1:22" hidden="1" x14ac:dyDescent="0.25">
      <c r="A240">
        <v>292</v>
      </c>
      <c r="C240" t="s">
        <v>521</v>
      </c>
      <c r="D240" t="s">
        <v>118</v>
      </c>
      <c r="E240" t="s">
        <v>23</v>
      </c>
      <c r="F240">
        <v>38.676000000000002</v>
      </c>
      <c r="G240">
        <v>48.965000000000003</v>
      </c>
      <c r="H240" s="3" t="s">
        <v>711</v>
      </c>
      <c r="I240" t="s">
        <v>1932</v>
      </c>
      <c r="J240" t="s">
        <v>1949</v>
      </c>
      <c r="U240" t="s">
        <v>712</v>
      </c>
      <c r="V240" t="s">
        <v>713</v>
      </c>
    </row>
    <row r="241" spans="1:22" hidden="1" x14ac:dyDescent="0.25">
      <c r="A241">
        <v>294</v>
      </c>
      <c r="C241" t="s">
        <v>521</v>
      </c>
      <c r="D241" t="s">
        <v>118</v>
      </c>
      <c r="E241" t="s">
        <v>29</v>
      </c>
      <c r="F241">
        <v>111.899</v>
      </c>
      <c r="G241">
        <v>122.03400000000001</v>
      </c>
      <c r="H241" s="3" t="s">
        <v>717</v>
      </c>
      <c r="I241" t="s">
        <v>1932</v>
      </c>
      <c r="J241" t="s">
        <v>2101</v>
      </c>
      <c r="K241">
        <v>224</v>
      </c>
      <c r="U241" t="s">
        <v>718</v>
      </c>
      <c r="V241" t="s">
        <v>719</v>
      </c>
    </row>
    <row r="242" spans="1:22" hidden="1" x14ac:dyDescent="0.25">
      <c r="A242">
        <v>224</v>
      </c>
      <c r="C242" t="s">
        <v>521</v>
      </c>
      <c r="D242" t="s">
        <v>19</v>
      </c>
      <c r="E242" t="s">
        <v>26</v>
      </c>
      <c r="F242">
        <v>115.35299999999999</v>
      </c>
      <c r="G242">
        <v>125.833</v>
      </c>
      <c r="H242" s="3" t="s">
        <v>528</v>
      </c>
      <c r="I242" t="s">
        <v>1932</v>
      </c>
      <c r="J242" t="s">
        <v>2101</v>
      </c>
      <c r="K242">
        <v>294</v>
      </c>
      <c r="L242" t="s">
        <v>1932</v>
      </c>
      <c r="M242" t="s">
        <v>1932</v>
      </c>
      <c r="N242" t="s">
        <v>1932</v>
      </c>
      <c r="O242" t="s">
        <v>2023</v>
      </c>
      <c r="P242" t="s">
        <v>1934</v>
      </c>
      <c r="Q242">
        <v>1</v>
      </c>
      <c r="T242" t="s">
        <v>2047</v>
      </c>
      <c r="U242" t="s">
        <v>529</v>
      </c>
      <c r="V242" t="s">
        <v>530</v>
      </c>
    </row>
    <row r="243" spans="1:22" hidden="1" x14ac:dyDescent="0.25">
      <c r="A243">
        <v>295</v>
      </c>
      <c r="C243" t="s">
        <v>521</v>
      </c>
      <c r="D243" t="s">
        <v>118</v>
      </c>
      <c r="E243" t="s">
        <v>32</v>
      </c>
      <c r="F243">
        <v>170.995</v>
      </c>
      <c r="G243">
        <v>180.04599999999999</v>
      </c>
      <c r="H243" s="3" t="s">
        <v>720</v>
      </c>
      <c r="I243" t="s">
        <v>1932</v>
      </c>
      <c r="J243" t="s">
        <v>1957</v>
      </c>
      <c r="U243" t="s">
        <v>721</v>
      </c>
      <c r="V243" t="s">
        <v>722</v>
      </c>
    </row>
    <row r="244" spans="1:22" hidden="1" x14ac:dyDescent="0.25">
      <c r="A244">
        <v>296</v>
      </c>
      <c r="C244" t="s">
        <v>521</v>
      </c>
      <c r="D244" t="s">
        <v>118</v>
      </c>
      <c r="E244" t="s">
        <v>35</v>
      </c>
      <c r="F244">
        <v>178.374</v>
      </c>
      <c r="G244">
        <v>186.96100000000001</v>
      </c>
      <c r="H244" s="3" t="s">
        <v>723</v>
      </c>
      <c r="I244" t="s">
        <v>1932</v>
      </c>
      <c r="J244" t="s">
        <v>2125</v>
      </c>
      <c r="K244">
        <v>226</v>
      </c>
      <c r="L244" t="s">
        <v>1935</v>
      </c>
      <c r="M244" t="s">
        <v>1934</v>
      </c>
      <c r="N244">
        <v>2</v>
      </c>
      <c r="O244" t="s">
        <v>1942</v>
      </c>
      <c r="P244" t="s">
        <v>1937</v>
      </c>
      <c r="T244" t="s">
        <v>1964</v>
      </c>
      <c r="U244" t="s">
        <v>724</v>
      </c>
      <c r="V244" t="s">
        <v>725</v>
      </c>
    </row>
    <row r="245" spans="1:22" hidden="1" x14ac:dyDescent="0.25">
      <c r="A245">
        <v>227</v>
      </c>
      <c r="C245" t="s">
        <v>521</v>
      </c>
      <c r="D245" t="s">
        <v>19</v>
      </c>
      <c r="E245" t="s">
        <v>35</v>
      </c>
      <c r="F245">
        <v>190.374</v>
      </c>
      <c r="G245">
        <v>200.292</v>
      </c>
      <c r="H245" t="s">
        <v>537</v>
      </c>
      <c r="I245" t="s">
        <v>1932</v>
      </c>
      <c r="J245" t="s">
        <v>2101</v>
      </c>
      <c r="U245" t="s">
        <v>538</v>
      </c>
      <c r="V245" t="s">
        <v>539</v>
      </c>
    </row>
    <row r="246" spans="1:22" hidden="1" x14ac:dyDescent="0.25">
      <c r="A246">
        <v>299</v>
      </c>
      <c r="C246" t="s">
        <v>521</v>
      </c>
      <c r="D246" t="s">
        <v>118</v>
      </c>
      <c r="E246" t="s">
        <v>44</v>
      </c>
      <c r="F246">
        <v>456.89600000000002</v>
      </c>
      <c r="G246">
        <v>468.46699999999998</v>
      </c>
      <c r="H246" s="3" t="s">
        <v>730</v>
      </c>
      <c r="I246" t="s">
        <v>1932</v>
      </c>
      <c r="J246" t="s">
        <v>1947</v>
      </c>
      <c r="U246" t="s">
        <v>731</v>
      </c>
    </row>
    <row r="247" spans="1:22" hidden="1" x14ac:dyDescent="0.25">
      <c r="A247">
        <v>234</v>
      </c>
      <c r="C247" t="s">
        <v>521</v>
      </c>
      <c r="D247" t="s">
        <v>19</v>
      </c>
      <c r="E247" t="s">
        <v>94</v>
      </c>
      <c r="F247">
        <v>668.14099999999996</v>
      </c>
      <c r="G247">
        <v>678.92</v>
      </c>
      <c r="H247" s="3" t="s">
        <v>553</v>
      </c>
      <c r="I247" t="s">
        <v>1932</v>
      </c>
      <c r="J247" t="s">
        <v>1957</v>
      </c>
      <c r="U247" t="s">
        <v>554</v>
      </c>
    </row>
    <row r="248" spans="1:22" hidden="1" x14ac:dyDescent="0.25">
      <c r="A248">
        <v>236</v>
      </c>
      <c r="C248" t="s">
        <v>521</v>
      </c>
      <c r="D248" t="s">
        <v>19</v>
      </c>
      <c r="E248" t="s">
        <v>100</v>
      </c>
      <c r="F248">
        <v>783.22900000000004</v>
      </c>
      <c r="G248">
        <v>794.30700000000002</v>
      </c>
      <c r="H248" s="3" t="s">
        <v>557</v>
      </c>
      <c r="I248" t="s">
        <v>1932</v>
      </c>
      <c r="J248" t="s">
        <v>2086</v>
      </c>
      <c r="R248" t="s">
        <v>1970</v>
      </c>
      <c r="U248" t="s">
        <v>558</v>
      </c>
    </row>
    <row r="249" spans="1:22" hidden="1" x14ac:dyDescent="0.25">
      <c r="A249">
        <v>302</v>
      </c>
      <c r="C249" t="s">
        <v>521</v>
      </c>
      <c r="D249" t="s">
        <v>118</v>
      </c>
      <c r="E249" t="s">
        <v>91</v>
      </c>
      <c r="F249">
        <v>786.60500000000002</v>
      </c>
      <c r="G249">
        <v>795.995</v>
      </c>
      <c r="H249" s="3" t="s">
        <v>735</v>
      </c>
      <c r="I249" t="s">
        <v>1932</v>
      </c>
      <c r="J249" t="s">
        <v>2086</v>
      </c>
      <c r="U249" t="s">
        <v>736</v>
      </c>
    </row>
    <row r="250" spans="1:22" hidden="1" x14ac:dyDescent="0.25">
      <c r="A250">
        <v>237</v>
      </c>
      <c r="C250" t="s">
        <v>521</v>
      </c>
      <c r="D250" t="s">
        <v>19</v>
      </c>
      <c r="E250" t="s">
        <v>103</v>
      </c>
      <c r="F250">
        <v>796.26199999999994</v>
      </c>
      <c r="G250">
        <v>809.87099999999998</v>
      </c>
      <c r="H250" s="3" t="s">
        <v>559</v>
      </c>
      <c r="I250" t="s">
        <v>1932</v>
      </c>
      <c r="J250" t="s">
        <v>2106</v>
      </c>
      <c r="U250" t="s">
        <v>560</v>
      </c>
    </row>
    <row r="251" spans="1:22" hidden="1" x14ac:dyDescent="0.25">
      <c r="A251">
        <v>222</v>
      </c>
      <c r="C251" t="s">
        <v>521</v>
      </c>
      <c r="D251" t="s">
        <v>19</v>
      </c>
      <c r="E251" t="s">
        <v>20</v>
      </c>
      <c r="F251">
        <v>20.657</v>
      </c>
      <c r="G251">
        <v>31.076000000000001</v>
      </c>
      <c r="H251" s="3" t="s">
        <v>522</v>
      </c>
      <c r="I251" t="s">
        <v>1932</v>
      </c>
      <c r="J251" t="s">
        <v>1957</v>
      </c>
      <c r="K251">
        <v>291</v>
      </c>
      <c r="U251" t="s">
        <v>523</v>
      </c>
      <c r="V251" t="s">
        <v>524</v>
      </c>
    </row>
    <row r="252" spans="1:22" hidden="1" x14ac:dyDescent="0.25">
      <c r="A252">
        <v>291</v>
      </c>
      <c r="C252" t="s">
        <v>521</v>
      </c>
      <c r="D252" t="s">
        <v>118</v>
      </c>
      <c r="E252" t="s">
        <v>20</v>
      </c>
      <c r="F252">
        <v>20.657</v>
      </c>
      <c r="G252">
        <v>31.076000000000001</v>
      </c>
      <c r="H252" s="3" t="s">
        <v>710</v>
      </c>
      <c r="I252" t="s">
        <v>1932</v>
      </c>
      <c r="J252" t="s">
        <v>1957</v>
      </c>
      <c r="K252">
        <v>222</v>
      </c>
      <c r="U252" t="s">
        <v>523</v>
      </c>
      <c r="V252" t="s">
        <v>524</v>
      </c>
    </row>
    <row r="253" spans="1:22" hidden="1" x14ac:dyDescent="0.25">
      <c r="A253">
        <v>223</v>
      </c>
      <c r="C253" t="s">
        <v>521</v>
      </c>
      <c r="D253" t="s">
        <v>19</v>
      </c>
      <c r="E253" t="s">
        <v>23</v>
      </c>
      <c r="F253">
        <v>63.266000000000012</v>
      </c>
      <c r="G253">
        <v>74.588999999999999</v>
      </c>
      <c r="H253" s="3" t="s">
        <v>525</v>
      </c>
      <c r="I253" t="s">
        <v>1932</v>
      </c>
      <c r="J253" t="s">
        <v>1940</v>
      </c>
      <c r="U253" t="s">
        <v>526</v>
      </c>
      <c r="V253" t="s">
        <v>527</v>
      </c>
    </row>
    <row r="254" spans="1:22" hidden="1" x14ac:dyDescent="0.25">
      <c r="A254">
        <v>332</v>
      </c>
      <c r="C254" t="s">
        <v>521</v>
      </c>
      <c r="D254" t="s">
        <v>47</v>
      </c>
      <c r="E254" t="s">
        <v>20</v>
      </c>
      <c r="F254">
        <v>85.989000000000004</v>
      </c>
      <c r="G254">
        <v>94.894000000000005</v>
      </c>
      <c r="H254" s="3" t="s">
        <v>794</v>
      </c>
      <c r="I254" t="s">
        <v>1932</v>
      </c>
      <c r="J254" t="s">
        <v>1939</v>
      </c>
      <c r="U254" t="s">
        <v>795</v>
      </c>
      <c r="V254" t="s">
        <v>796</v>
      </c>
    </row>
    <row r="255" spans="1:22" hidden="1" x14ac:dyDescent="0.25">
      <c r="A255">
        <v>225</v>
      </c>
      <c r="C255" t="s">
        <v>521</v>
      </c>
      <c r="D255" t="s">
        <v>19</v>
      </c>
      <c r="E255" t="s">
        <v>29</v>
      </c>
      <c r="F255">
        <v>130.91900000000001</v>
      </c>
      <c r="G255">
        <v>142.29900000000001</v>
      </c>
      <c r="H255" s="3" t="s">
        <v>531</v>
      </c>
      <c r="I255" t="s">
        <v>1932</v>
      </c>
      <c r="J255" t="s">
        <v>1941</v>
      </c>
      <c r="U255" t="s">
        <v>532</v>
      </c>
      <c r="V255" t="s">
        <v>533</v>
      </c>
    </row>
    <row r="256" spans="1:22" hidden="1" x14ac:dyDescent="0.25">
      <c r="A256">
        <v>228</v>
      </c>
      <c r="C256" t="s">
        <v>521</v>
      </c>
      <c r="D256" t="s">
        <v>19</v>
      </c>
      <c r="E256" t="s">
        <v>38</v>
      </c>
      <c r="F256">
        <v>240.51</v>
      </c>
      <c r="G256">
        <v>248.63200000000001</v>
      </c>
      <c r="H256" s="3" t="s">
        <v>540</v>
      </c>
      <c r="I256" t="s">
        <v>1932</v>
      </c>
      <c r="J256" t="s">
        <v>1957</v>
      </c>
      <c r="U256" t="s">
        <v>541</v>
      </c>
      <c r="V256" t="s">
        <v>542</v>
      </c>
    </row>
    <row r="257" spans="1:21" hidden="1" x14ac:dyDescent="0.25">
      <c r="A257">
        <v>297</v>
      </c>
      <c r="C257" t="s">
        <v>521</v>
      </c>
      <c r="D257" t="s">
        <v>118</v>
      </c>
      <c r="E257" t="s">
        <v>38</v>
      </c>
      <c r="F257">
        <v>383.91500000000002</v>
      </c>
      <c r="G257">
        <v>396.51100000000002</v>
      </c>
      <c r="H257" s="3" t="s">
        <v>726</v>
      </c>
      <c r="I257" t="s">
        <v>1932</v>
      </c>
      <c r="J257" t="s">
        <v>2101</v>
      </c>
      <c r="U257" t="s">
        <v>727</v>
      </c>
    </row>
    <row r="258" spans="1:21" hidden="1" x14ac:dyDescent="0.25">
      <c r="A258">
        <v>298</v>
      </c>
      <c r="C258" t="s">
        <v>521</v>
      </c>
      <c r="D258" t="s">
        <v>118</v>
      </c>
      <c r="E258" t="s">
        <v>41</v>
      </c>
      <c r="F258">
        <v>444.69799999999998</v>
      </c>
      <c r="G258">
        <v>453.71100000000001</v>
      </c>
      <c r="H258" s="3" t="s">
        <v>728</v>
      </c>
      <c r="I258" t="s">
        <v>1932</v>
      </c>
      <c r="J258" t="s">
        <v>2091</v>
      </c>
      <c r="L258" t="s">
        <v>1932</v>
      </c>
      <c r="M258" t="s">
        <v>1932</v>
      </c>
      <c r="N258" t="s">
        <v>1932</v>
      </c>
      <c r="O258" t="s">
        <v>1936</v>
      </c>
      <c r="P258" t="s">
        <v>1932</v>
      </c>
      <c r="T258" t="s">
        <v>2058</v>
      </c>
      <c r="U258" t="s">
        <v>729</v>
      </c>
    </row>
    <row r="259" spans="1:21" hidden="1" x14ac:dyDescent="0.25">
      <c r="A259">
        <v>230</v>
      </c>
      <c r="C259" t="s">
        <v>521</v>
      </c>
      <c r="D259" t="s">
        <v>19</v>
      </c>
      <c r="E259" t="s">
        <v>44</v>
      </c>
      <c r="F259">
        <v>593.62900000000002</v>
      </c>
      <c r="G259">
        <v>605.27800000000002</v>
      </c>
      <c r="H259" s="3" t="s">
        <v>545</v>
      </c>
      <c r="I259" t="s">
        <v>1932</v>
      </c>
      <c r="J259" t="s">
        <v>1961</v>
      </c>
      <c r="K259">
        <v>301</v>
      </c>
      <c r="U259" t="s">
        <v>546</v>
      </c>
    </row>
    <row r="260" spans="1:21" hidden="1" x14ac:dyDescent="0.25">
      <c r="A260">
        <v>301</v>
      </c>
      <c r="C260" t="s">
        <v>521</v>
      </c>
      <c r="D260" t="s">
        <v>118</v>
      </c>
      <c r="E260" t="s">
        <v>88</v>
      </c>
      <c r="F260">
        <v>593.62900000000002</v>
      </c>
      <c r="G260">
        <v>605.27800000000002</v>
      </c>
      <c r="H260" s="3" t="s">
        <v>734</v>
      </c>
      <c r="I260" t="s">
        <v>1932</v>
      </c>
      <c r="J260" t="s">
        <v>1961</v>
      </c>
      <c r="K260">
        <v>230</v>
      </c>
      <c r="U260" t="s">
        <v>546</v>
      </c>
    </row>
    <row r="261" spans="1:21" hidden="1" x14ac:dyDescent="0.25">
      <c r="A261">
        <v>231</v>
      </c>
      <c r="C261" t="s">
        <v>521</v>
      </c>
      <c r="D261" t="s">
        <v>19</v>
      </c>
      <c r="E261" t="s">
        <v>85</v>
      </c>
      <c r="F261">
        <v>597.471</v>
      </c>
      <c r="G261">
        <v>608.69100000000003</v>
      </c>
      <c r="H261" s="3" t="s">
        <v>547</v>
      </c>
      <c r="I261" t="s">
        <v>1932</v>
      </c>
      <c r="J261" t="s">
        <v>1952</v>
      </c>
      <c r="K261">
        <v>232</v>
      </c>
      <c r="U261" t="s">
        <v>548</v>
      </c>
    </row>
    <row r="262" spans="1:21" hidden="1" x14ac:dyDescent="0.25">
      <c r="A262">
        <v>232</v>
      </c>
      <c r="C262" t="s">
        <v>521</v>
      </c>
      <c r="D262" t="s">
        <v>19</v>
      </c>
      <c r="E262" t="s">
        <v>88</v>
      </c>
      <c r="F262">
        <v>601.22699999999998</v>
      </c>
      <c r="G262">
        <v>610.27800000000002</v>
      </c>
      <c r="H262" s="3" t="s">
        <v>549</v>
      </c>
      <c r="I262" t="s">
        <v>1932</v>
      </c>
      <c r="J262" t="s">
        <v>1952</v>
      </c>
      <c r="K262">
        <v>231</v>
      </c>
      <c r="U262" t="s">
        <v>550</v>
      </c>
    </row>
    <row r="263" spans="1:21" hidden="1" x14ac:dyDescent="0.25">
      <c r="A263">
        <v>233</v>
      </c>
      <c r="C263" t="s">
        <v>521</v>
      </c>
      <c r="D263" t="s">
        <v>19</v>
      </c>
      <c r="E263" t="s">
        <v>91</v>
      </c>
      <c r="F263">
        <v>647.84699999999998</v>
      </c>
      <c r="G263">
        <v>661.04100000000005</v>
      </c>
      <c r="H263" s="3" t="s">
        <v>551</v>
      </c>
      <c r="I263" t="s">
        <v>1932</v>
      </c>
      <c r="J263" t="s">
        <v>1957</v>
      </c>
      <c r="U263" t="s">
        <v>552</v>
      </c>
    </row>
    <row r="264" spans="1:21" hidden="1" x14ac:dyDescent="0.25">
      <c r="A264">
        <v>235</v>
      </c>
      <c r="C264" t="s">
        <v>521</v>
      </c>
      <c r="D264" t="s">
        <v>19</v>
      </c>
      <c r="E264" t="s">
        <v>97</v>
      </c>
      <c r="F264">
        <v>685.40200000000004</v>
      </c>
      <c r="G264">
        <v>695.88199999999995</v>
      </c>
      <c r="H264" s="3" t="s">
        <v>555</v>
      </c>
      <c r="I264" t="s">
        <v>1932</v>
      </c>
      <c r="J264" t="s">
        <v>1940</v>
      </c>
      <c r="U264" t="s">
        <v>556</v>
      </c>
    </row>
    <row r="265" spans="1:21" hidden="1" x14ac:dyDescent="0.25">
      <c r="A265">
        <v>238</v>
      </c>
      <c r="C265" t="s">
        <v>521</v>
      </c>
      <c r="D265" t="s">
        <v>19</v>
      </c>
      <c r="E265" t="s">
        <v>106</v>
      </c>
      <c r="F265">
        <v>802.19600000000003</v>
      </c>
      <c r="G265">
        <v>811.45299999999997</v>
      </c>
      <c r="H265" s="3" t="s">
        <v>561</v>
      </c>
      <c r="I265" t="s">
        <v>1932</v>
      </c>
      <c r="U265" t="s">
        <v>562</v>
      </c>
    </row>
    <row r="266" spans="1:21" hidden="1" x14ac:dyDescent="0.25">
      <c r="A266">
        <v>239</v>
      </c>
      <c r="C266" t="s">
        <v>521</v>
      </c>
      <c r="D266" t="s">
        <v>19</v>
      </c>
      <c r="E266" t="s">
        <v>109</v>
      </c>
      <c r="F266">
        <v>990.21</v>
      </c>
      <c r="G266">
        <v>998.85900000000004</v>
      </c>
      <c r="H266" s="3" t="s">
        <v>563</v>
      </c>
      <c r="I266" t="s">
        <v>1932</v>
      </c>
      <c r="J266" t="s">
        <v>1947</v>
      </c>
      <c r="U266" t="s">
        <v>564</v>
      </c>
    </row>
    <row r="267" spans="1:21" hidden="1" x14ac:dyDescent="0.25">
      <c r="A267">
        <v>240</v>
      </c>
      <c r="C267" t="s">
        <v>521</v>
      </c>
      <c r="D267" t="s">
        <v>19</v>
      </c>
      <c r="E267" t="s">
        <v>112</v>
      </c>
      <c r="F267">
        <v>992.33399999999995</v>
      </c>
      <c r="G267">
        <v>1001.931</v>
      </c>
      <c r="H267" s="3" t="s">
        <v>565</v>
      </c>
      <c r="I267" t="s">
        <v>1932</v>
      </c>
      <c r="J267" t="s">
        <v>1947</v>
      </c>
      <c r="U267" t="s">
        <v>566</v>
      </c>
    </row>
    <row r="268" spans="1:21" hidden="1" x14ac:dyDescent="0.25">
      <c r="A268">
        <v>241</v>
      </c>
      <c r="C268" t="s">
        <v>521</v>
      </c>
      <c r="D268" t="s">
        <v>19</v>
      </c>
      <c r="E268" t="s">
        <v>115</v>
      </c>
      <c r="F268">
        <v>1126.8109999999999</v>
      </c>
      <c r="G268">
        <v>1136.5509999999999</v>
      </c>
      <c r="H268" s="3" t="s">
        <v>567</v>
      </c>
      <c r="I268" t="s">
        <v>1932</v>
      </c>
      <c r="J268" t="s">
        <v>2101</v>
      </c>
      <c r="U268" t="s">
        <v>568</v>
      </c>
    </row>
    <row r="269" spans="1:21" hidden="1" x14ac:dyDescent="0.25">
      <c r="A269">
        <v>242</v>
      </c>
      <c r="C269" t="s">
        <v>521</v>
      </c>
      <c r="D269" t="s">
        <v>19</v>
      </c>
      <c r="E269" t="s">
        <v>178</v>
      </c>
      <c r="F269">
        <v>1263.298</v>
      </c>
      <c r="G269">
        <v>1275.2070000000001</v>
      </c>
      <c r="H269" s="3" t="s">
        <v>569</v>
      </c>
      <c r="I269" t="s">
        <v>1932</v>
      </c>
      <c r="J269" t="s">
        <v>1961</v>
      </c>
      <c r="U269" t="s">
        <v>570</v>
      </c>
    </row>
    <row r="270" spans="1:21" hidden="1" x14ac:dyDescent="0.25">
      <c r="A270">
        <v>243</v>
      </c>
      <c r="C270" t="s">
        <v>521</v>
      </c>
      <c r="D270" t="s">
        <v>19</v>
      </c>
      <c r="E270" t="s">
        <v>181</v>
      </c>
      <c r="F270">
        <v>1273.4770000000001</v>
      </c>
      <c r="G270">
        <v>1284.5150000000001</v>
      </c>
      <c r="H270" s="3" t="s">
        <v>571</v>
      </c>
      <c r="I270" t="s">
        <v>1932</v>
      </c>
      <c r="J270" t="s">
        <v>1961</v>
      </c>
      <c r="U270" t="s">
        <v>572</v>
      </c>
    </row>
    <row r="271" spans="1:21" hidden="1" x14ac:dyDescent="0.25">
      <c r="A271">
        <v>244</v>
      </c>
      <c r="C271" t="s">
        <v>521</v>
      </c>
      <c r="D271" t="s">
        <v>19</v>
      </c>
      <c r="E271" t="s">
        <v>184</v>
      </c>
      <c r="F271">
        <v>1296.499</v>
      </c>
      <c r="G271">
        <v>1306.22</v>
      </c>
      <c r="H271" s="3" t="s">
        <v>573</v>
      </c>
      <c r="I271" t="s">
        <v>1932</v>
      </c>
      <c r="J271" t="s">
        <v>1940</v>
      </c>
      <c r="U271" t="s">
        <v>574</v>
      </c>
    </row>
    <row r="272" spans="1:21" hidden="1" x14ac:dyDescent="0.25">
      <c r="A272">
        <v>245</v>
      </c>
      <c r="C272" t="s">
        <v>521</v>
      </c>
      <c r="D272" t="s">
        <v>19</v>
      </c>
      <c r="E272" t="s">
        <v>187</v>
      </c>
      <c r="F272">
        <v>1342.568</v>
      </c>
      <c r="G272">
        <v>1352.2170000000001</v>
      </c>
      <c r="H272" s="3" t="s">
        <v>575</v>
      </c>
      <c r="I272" t="s">
        <v>1932</v>
      </c>
      <c r="J272" t="s">
        <v>2101</v>
      </c>
      <c r="U272" t="s">
        <v>576</v>
      </c>
    </row>
    <row r="273" spans="1:21" hidden="1" x14ac:dyDescent="0.25">
      <c r="A273">
        <v>246</v>
      </c>
      <c r="C273" t="s">
        <v>521</v>
      </c>
      <c r="D273" t="s">
        <v>19</v>
      </c>
      <c r="E273" t="s">
        <v>190</v>
      </c>
      <c r="F273">
        <v>1408.192</v>
      </c>
      <c r="G273">
        <v>1419.568</v>
      </c>
      <c r="H273" s="3" t="s">
        <v>577</v>
      </c>
      <c r="I273" t="s">
        <v>1932</v>
      </c>
      <c r="J273" t="s">
        <v>1957</v>
      </c>
      <c r="U273" t="s">
        <v>578</v>
      </c>
    </row>
    <row r="274" spans="1:21" hidden="1" x14ac:dyDescent="0.25">
      <c r="A274">
        <v>247</v>
      </c>
      <c r="C274" t="s">
        <v>521</v>
      </c>
      <c r="D274" t="s">
        <v>19</v>
      </c>
      <c r="E274" t="s">
        <v>193</v>
      </c>
      <c r="F274">
        <v>1525.915</v>
      </c>
      <c r="G274">
        <v>1539.433</v>
      </c>
      <c r="H274" s="3" t="s">
        <v>579</v>
      </c>
      <c r="I274" t="s">
        <v>1932</v>
      </c>
      <c r="J274" t="s">
        <v>2101</v>
      </c>
      <c r="U274" t="s">
        <v>580</v>
      </c>
    </row>
    <row r="275" spans="1:21" hidden="1" x14ac:dyDescent="0.25">
      <c r="A275">
        <v>248</v>
      </c>
      <c r="C275" t="s">
        <v>521</v>
      </c>
      <c r="D275" t="s">
        <v>19</v>
      </c>
      <c r="E275" t="s">
        <v>581</v>
      </c>
      <c r="F275">
        <v>1534.61</v>
      </c>
      <c r="G275">
        <v>1550.6310000000001</v>
      </c>
      <c r="H275" s="3" t="s">
        <v>582</v>
      </c>
      <c r="I275" t="s">
        <v>1932</v>
      </c>
      <c r="J275" t="s">
        <v>2101</v>
      </c>
      <c r="U275" t="s">
        <v>583</v>
      </c>
    </row>
    <row r="276" spans="1:21" hidden="1" x14ac:dyDescent="0.25">
      <c r="A276">
        <v>333</v>
      </c>
      <c r="C276" t="s">
        <v>521</v>
      </c>
      <c r="D276" t="s">
        <v>47</v>
      </c>
      <c r="E276" t="s">
        <v>23</v>
      </c>
      <c r="F276">
        <v>987.26199999999994</v>
      </c>
      <c r="G276">
        <v>996.01499999999999</v>
      </c>
      <c r="H276" s="3" t="s">
        <v>797</v>
      </c>
      <c r="I276" t="s">
        <v>1932</v>
      </c>
      <c r="J276" t="s">
        <v>2101</v>
      </c>
      <c r="U276" t="s">
        <v>798</v>
      </c>
    </row>
    <row r="277" spans="1:21" hidden="1" x14ac:dyDescent="0.25">
      <c r="A277">
        <v>303</v>
      </c>
      <c r="C277" t="s">
        <v>521</v>
      </c>
      <c r="D277" t="s">
        <v>118</v>
      </c>
      <c r="E277" t="s">
        <v>94</v>
      </c>
      <c r="F277">
        <v>994.27300000000002</v>
      </c>
      <c r="G277">
        <v>1003.514</v>
      </c>
      <c r="H277" s="3" t="s">
        <v>737</v>
      </c>
      <c r="I277" t="s">
        <v>1932</v>
      </c>
      <c r="J277" t="s">
        <v>2101</v>
      </c>
      <c r="U277" t="s">
        <v>738</v>
      </c>
    </row>
    <row r="278" spans="1:21" hidden="1" x14ac:dyDescent="0.25">
      <c r="A278">
        <v>304</v>
      </c>
      <c r="C278" t="s">
        <v>521</v>
      </c>
      <c r="D278" t="s">
        <v>118</v>
      </c>
      <c r="E278" t="s">
        <v>97</v>
      </c>
      <c r="F278">
        <v>1000.134</v>
      </c>
      <c r="G278">
        <v>1013.223</v>
      </c>
      <c r="H278" s="3" t="s">
        <v>739</v>
      </c>
      <c r="I278" t="s">
        <v>1932</v>
      </c>
      <c r="J278" t="s">
        <v>2101</v>
      </c>
      <c r="U278" t="s">
        <v>740</v>
      </c>
    </row>
    <row r="279" spans="1:21" hidden="1" x14ac:dyDescent="0.25">
      <c r="A279">
        <v>305</v>
      </c>
      <c r="C279" t="s">
        <v>521</v>
      </c>
      <c r="D279" t="s">
        <v>118</v>
      </c>
      <c r="E279" t="s">
        <v>100</v>
      </c>
      <c r="F279">
        <v>1099.0940000000001</v>
      </c>
      <c r="G279">
        <v>1112.6099999999999</v>
      </c>
      <c r="H279" s="3" t="s">
        <v>741</v>
      </c>
      <c r="I279" t="s">
        <v>1932</v>
      </c>
      <c r="J279" t="s">
        <v>2101</v>
      </c>
      <c r="U279" t="s">
        <v>742</v>
      </c>
    </row>
    <row r="280" spans="1:21" hidden="1" x14ac:dyDescent="0.25">
      <c r="A280">
        <v>306</v>
      </c>
      <c r="C280" t="s">
        <v>521</v>
      </c>
      <c r="D280" t="s">
        <v>118</v>
      </c>
      <c r="E280" t="s">
        <v>103</v>
      </c>
      <c r="F280">
        <v>1131.0309999999999</v>
      </c>
      <c r="G280">
        <v>1143.3240000000001</v>
      </c>
      <c r="H280" s="3" t="s">
        <v>743</v>
      </c>
      <c r="I280" t="s">
        <v>1932</v>
      </c>
      <c r="J280" t="s">
        <v>2092</v>
      </c>
      <c r="U280" t="s">
        <v>744</v>
      </c>
    </row>
    <row r="281" spans="1:21" hidden="1" x14ac:dyDescent="0.25">
      <c r="A281">
        <v>334</v>
      </c>
      <c r="C281" t="s">
        <v>521</v>
      </c>
      <c r="D281" t="s">
        <v>47</v>
      </c>
      <c r="E281" t="s">
        <v>26</v>
      </c>
      <c r="F281">
        <v>1324.5809999999999</v>
      </c>
      <c r="G281">
        <v>1334.451</v>
      </c>
      <c r="H281" s="3" t="s">
        <v>799</v>
      </c>
      <c r="I281" t="s">
        <v>1932</v>
      </c>
      <c r="J281" t="s">
        <v>2101</v>
      </c>
      <c r="U281" t="s">
        <v>800</v>
      </c>
    </row>
    <row r="282" spans="1:21" hidden="1" x14ac:dyDescent="0.25">
      <c r="A282">
        <v>307</v>
      </c>
      <c r="C282" t="s">
        <v>521</v>
      </c>
      <c r="D282" t="s">
        <v>118</v>
      </c>
      <c r="E282" t="s">
        <v>106</v>
      </c>
      <c r="F282">
        <v>1378.923</v>
      </c>
      <c r="G282">
        <v>1388.325</v>
      </c>
      <c r="H282" s="3" t="s">
        <v>745</v>
      </c>
      <c r="I282" t="s">
        <v>1932</v>
      </c>
      <c r="J282" t="s">
        <v>1957</v>
      </c>
      <c r="U282" t="s">
        <v>746</v>
      </c>
    </row>
    <row r="283" spans="1:21" hidden="1" x14ac:dyDescent="0.25">
      <c r="A283">
        <v>308</v>
      </c>
      <c r="C283" t="s">
        <v>521</v>
      </c>
      <c r="D283" t="s">
        <v>118</v>
      </c>
      <c r="E283" t="s">
        <v>109</v>
      </c>
      <c r="F283">
        <v>1432.009</v>
      </c>
      <c r="G283">
        <v>1441.63</v>
      </c>
      <c r="H283" s="3" t="s">
        <v>747</v>
      </c>
      <c r="I283" t="s">
        <v>1932</v>
      </c>
      <c r="J283" t="s">
        <v>1957</v>
      </c>
      <c r="U283" t="s">
        <v>748</v>
      </c>
    </row>
    <row r="284" spans="1:21" hidden="1" x14ac:dyDescent="0.25">
      <c r="A284">
        <v>250</v>
      </c>
      <c r="C284" t="s">
        <v>521</v>
      </c>
      <c r="D284" t="s">
        <v>19</v>
      </c>
      <c r="E284" t="s">
        <v>587</v>
      </c>
      <c r="F284">
        <v>1821.316</v>
      </c>
      <c r="G284">
        <v>1829.817</v>
      </c>
      <c r="H284" s="3" t="s">
        <v>588</v>
      </c>
      <c r="I284" t="s">
        <v>1932</v>
      </c>
      <c r="J284" t="s">
        <v>1957</v>
      </c>
      <c r="U284" t="s">
        <v>589</v>
      </c>
    </row>
    <row r="285" spans="1:21" hidden="1" x14ac:dyDescent="0.25">
      <c r="A285">
        <v>251</v>
      </c>
      <c r="C285" t="s">
        <v>521</v>
      </c>
      <c r="D285" t="s">
        <v>19</v>
      </c>
      <c r="E285" t="s">
        <v>590</v>
      </c>
      <c r="F285">
        <v>1847.7280000000001</v>
      </c>
      <c r="G285">
        <v>1860.5840000000001</v>
      </c>
      <c r="H285" s="3" t="s">
        <v>591</v>
      </c>
      <c r="I285" t="s">
        <v>1932</v>
      </c>
      <c r="J285" t="s">
        <v>2101</v>
      </c>
      <c r="U285" t="s">
        <v>592</v>
      </c>
    </row>
    <row r="286" spans="1:21" hidden="1" x14ac:dyDescent="0.25">
      <c r="A286">
        <v>310</v>
      </c>
      <c r="C286" t="s">
        <v>521</v>
      </c>
      <c r="D286" t="s">
        <v>118</v>
      </c>
      <c r="E286" t="s">
        <v>115</v>
      </c>
      <c r="F286">
        <v>1860.0319999999999</v>
      </c>
      <c r="G286">
        <v>1872.654</v>
      </c>
      <c r="H286" s="3" t="s">
        <v>751</v>
      </c>
      <c r="I286" t="s">
        <v>1932</v>
      </c>
      <c r="J286" t="s">
        <v>2101</v>
      </c>
      <c r="U286" t="s">
        <v>752</v>
      </c>
    </row>
    <row r="287" spans="1:21" hidden="1" x14ac:dyDescent="0.25">
      <c r="A287">
        <v>253</v>
      </c>
      <c r="C287" t="s">
        <v>521</v>
      </c>
      <c r="D287" t="s">
        <v>19</v>
      </c>
      <c r="E287" t="s">
        <v>596</v>
      </c>
      <c r="F287">
        <v>1885.519</v>
      </c>
      <c r="G287">
        <v>1897.135</v>
      </c>
      <c r="H287" s="3" t="s">
        <v>597</v>
      </c>
      <c r="I287" t="s">
        <v>1932</v>
      </c>
      <c r="J287" t="s">
        <v>2106</v>
      </c>
      <c r="K287">
        <v>252</v>
      </c>
      <c r="U287" t="s">
        <v>598</v>
      </c>
    </row>
    <row r="288" spans="1:21" hidden="1" x14ac:dyDescent="0.25">
      <c r="A288">
        <v>254</v>
      </c>
      <c r="C288" t="s">
        <v>521</v>
      </c>
      <c r="D288" t="s">
        <v>19</v>
      </c>
      <c r="E288" t="s">
        <v>599</v>
      </c>
      <c r="F288">
        <v>1900.271</v>
      </c>
      <c r="G288">
        <v>1910.8810000000001</v>
      </c>
      <c r="H288" s="3" t="s">
        <v>600</v>
      </c>
      <c r="I288" t="s">
        <v>1932</v>
      </c>
      <c r="J288" t="s">
        <v>1957</v>
      </c>
      <c r="U288" t="s">
        <v>601</v>
      </c>
    </row>
    <row r="289" spans="1:21" hidden="1" x14ac:dyDescent="0.25">
      <c r="A289">
        <v>311</v>
      </c>
      <c r="C289" t="s">
        <v>521</v>
      </c>
      <c r="D289" t="s">
        <v>118</v>
      </c>
      <c r="E289" t="s">
        <v>178</v>
      </c>
      <c r="F289">
        <v>1914.931</v>
      </c>
      <c r="G289">
        <v>1928.2550000000001</v>
      </c>
      <c r="H289" s="3" t="s">
        <v>753</v>
      </c>
      <c r="I289" t="s">
        <v>1932</v>
      </c>
      <c r="J289" t="s">
        <v>1954</v>
      </c>
      <c r="U289" t="s">
        <v>754</v>
      </c>
    </row>
    <row r="290" spans="1:21" hidden="1" x14ac:dyDescent="0.25">
      <c r="A290">
        <v>312</v>
      </c>
      <c r="C290" t="s">
        <v>521</v>
      </c>
      <c r="D290" t="s">
        <v>118</v>
      </c>
      <c r="E290" t="s">
        <v>181</v>
      </c>
      <c r="F290">
        <v>1923.1780000000001</v>
      </c>
      <c r="G290">
        <v>1936.9690000000001</v>
      </c>
      <c r="H290" s="3" t="s">
        <v>755</v>
      </c>
      <c r="I290" t="s">
        <v>1932</v>
      </c>
      <c r="J290" t="s">
        <v>2106</v>
      </c>
      <c r="U290" t="s">
        <v>756</v>
      </c>
    </row>
    <row r="291" spans="1:21" hidden="1" x14ac:dyDescent="0.25">
      <c r="A291">
        <v>255</v>
      </c>
      <c r="C291" t="s">
        <v>521</v>
      </c>
      <c r="D291" t="s">
        <v>19</v>
      </c>
      <c r="E291" t="s">
        <v>602</v>
      </c>
      <c r="F291">
        <v>1946.538</v>
      </c>
      <c r="G291">
        <v>1956.394</v>
      </c>
      <c r="H291" s="3" t="s">
        <v>603</v>
      </c>
      <c r="I291" t="s">
        <v>1932</v>
      </c>
      <c r="J291" t="s">
        <v>2106</v>
      </c>
      <c r="U291" t="s">
        <v>604</v>
      </c>
    </row>
    <row r="292" spans="1:21" hidden="1" x14ac:dyDescent="0.25">
      <c r="A292">
        <v>313</v>
      </c>
      <c r="C292" t="s">
        <v>521</v>
      </c>
      <c r="D292" t="s">
        <v>118</v>
      </c>
      <c r="E292" t="s">
        <v>184</v>
      </c>
      <c r="F292">
        <v>1957.306</v>
      </c>
      <c r="G292">
        <v>1970.0709999999999</v>
      </c>
      <c r="H292" s="3" t="s">
        <v>757</v>
      </c>
      <c r="I292" t="s">
        <v>1932</v>
      </c>
      <c r="J292" t="s">
        <v>2101</v>
      </c>
      <c r="U292" t="s">
        <v>758</v>
      </c>
    </row>
    <row r="293" spans="1:21" hidden="1" x14ac:dyDescent="0.25">
      <c r="A293">
        <v>256</v>
      </c>
      <c r="C293" t="s">
        <v>521</v>
      </c>
      <c r="D293" t="s">
        <v>19</v>
      </c>
      <c r="E293" t="s">
        <v>605</v>
      </c>
      <c r="F293">
        <v>1971.3630000000001</v>
      </c>
      <c r="G293">
        <v>1985.1410000000001</v>
      </c>
      <c r="H293" s="3" t="s">
        <v>606</v>
      </c>
      <c r="I293" t="s">
        <v>1932</v>
      </c>
      <c r="U293" t="s">
        <v>607</v>
      </c>
    </row>
    <row r="294" spans="1:21" hidden="1" x14ac:dyDescent="0.25">
      <c r="A294">
        <v>257</v>
      </c>
      <c r="C294" t="s">
        <v>521</v>
      </c>
      <c r="D294" t="s">
        <v>19</v>
      </c>
      <c r="E294" t="s">
        <v>608</v>
      </c>
      <c r="F294">
        <v>1998.11</v>
      </c>
      <c r="G294">
        <v>2008.2139999999999</v>
      </c>
      <c r="H294" s="3" t="s">
        <v>609</v>
      </c>
      <c r="I294" t="s">
        <v>1932</v>
      </c>
      <c r="J294" t="s">
        <v>2125</v>
      </c>
      <c r="U294" t="s">
        <v>610</v>
      </c>
    </row>
    <row r="295" spans="1:21" hidden="1" x14ac:dyDescent="0.25">
      <c r="A295">
        <v>258</v>
      </c>
      <c r="C295" t="s">
        <v>521</v>
      </c>
      <c r="D295" t="s">
        <v>19</v>
      </c>
      <c r="E295" t="s">
        <v>611</v>
      </c>
      <c r="F295">
        <v>2007.8050000000001</v>
      </c>
      <c r="G295">
        <v>2018.077</v>
      </c>
      <c r="H295" s="3" t="s">
        <v>612</v>
      </c>
      <c r="I295" t="s">
        <v>1932</v>
      </c>
      <c r="J295" t="s">
        <v>1940</v>
      </c>
      <c r="K295">
        <v>335</v>
      </c>
      <c r="U295" t="s">
        <v>613</v>
      </c>
    </row>
    <row r="296" spans="1:21" hidden="1" x14ac:dyDescent="0.25">
      <c r="A296">
        <v>335</v>
      </c>
      <c r="C296" t="s">
        <v>521</v>
      </c>
      <c r="D296" t="s">
        <v>47</v>
      </c>
      <c r="E296" t="s">
        <v>29</v>
      </c>
      <c r="F296">
        <v>2016.4110000000001</v>
      </c>
      <c r="G296">
        <v>2024.9829999999999</v>
      </c>
      <c r="H296" s="3" t="s">
        <v>801</v>
      </c>
      <c r="I296" t="s">
        <v>1932</v>
      </c>
      <c r="J296" t="s">
        <v>1950</v>
      </c>
      <c r="K296">
        <v>258</v>
      </c>
      <c r="U296" t="s">
        <v>802</v>
      </c>
    </row>
    <row r="297" spans="1:21" hidden="1" x14ac:dyDescent="0.25">
      <c r="A297">
        <v>259</v>
      </c>
      <c r="C297" t="s">
        <v>521</v>
      </c>
      <c r="D297" t="s">
        <v>19</v>
      </c>
      <c r="E297" t="s">
        <v>614</v>
      </c>
      <c r="F297">
        <v>2084.7849999999999</v>
      </c>
      <c r="G297">
        <v>2096.6930000000002</v>
      </c>
      <c r="H297" s="3" t="s">
        <v>615</v>
      </c>
      <c r="I297" t="s">
        <v>1932</v>
      </c>
      <c r="J297" t="s">
        <v>2101</v>
      </c>
      <c r="U297" t="s">
        <v>616</v>
      </c>
    </row>
    <row r="298" spans="1:21" hidden="1" x14ac:dyDescent="0.25">
      <c r="A298">
        <v>260</v>
      </c>
      <c r="C298" t="s">
        <v>521</v>
      </c>
      <c r="D298" t="s">
        <v>19</v>
      </c>
      <c r="E298" t="s">
        <v>617</v>
      </c>
      <c r="F298">
        <v>2091.09</v>
      </c>
      <c r="G298">
        <v>2100.8040000000001</v>
      </c>
      <c r="H298" s="3" t="s">
        <v>618</v>
      </c>
      <c r="I298" t="s">
        <v>1932</v>
      </c>
      <c r="J298" t="s">
        <v>2101</v>
      </c>
      <c r="U298" t="s">
        <v>619</v>
      </c>
    </row>
    <row r="299" spans="1:21" hidden="1" x14ac:dyDescent="0.25">
      <c r="A299">
        <v>261</v>
      </c>
      <c r="C299" t="s">
        <v>521</v>
      </c>
      <c r="D299" t="s">
        <v>19</v>
      </c>
      <c r="E299" t="s">
        <v>620</v>
      </c>
      <c r="F299">
        <v>2095.0230000000001</v>
      </c>
      <c r="G299">
        <v>2108.6320000000001</v>
      </c>
      <c r="H299" s="3" t="s">
        <v>621</v>
      </c>
      <c r="I299" t="s">
        <v>1932</v>
      </c>
      <c r="J299" t="s">
        <v>1961</v>
      </c>
      <c r="U299" t="s">
        <v>622</v>
      </c>
    </row>
    <row r="300" spans="1:21" hidden="1" x14ac:dyDescent="0.25">
      <c r="A300">
        <v>314</v>
      </c>
      <c r="C300" t="s">
        <v>521</v>
      </c>
      <c r="D300" t="s">
        <v>118</v>
      </c>
      <c r="E300" t="s">
        <v>187</v>
      </c>
      <c r="F300">
        <v>2101.6260000000002</v>
      </c>
      <c r="G300">
        <v>2116.0410000000002</v>
      </c>
      <c r="H300" s="3" t="s">
        <v>759</v>
      </c>
      <c r="I300" t="s">
        <v>1932</v>
      </c>
      <c r="J300" t="s">
        <v>2106</v>
      </c>
      <c r="U300" t="s">
        <v>760</v>
      </c>
    </row>
    <row r="301" spans="1:21" hidden="1" x14ac:dyDescent="0.25">
      <c r="A301">
        <v>262</v>
      </c>
      <c r="C301" t="s">
        <v>521</v>
      </c>
      <c r="D301" t="s">
        <v>19</v>
      </c>
      <c r="E301" t="s">
        <v>623</v>
      </c>
      <c r="F301">
        <v>2139.538</v>
      </c>
      <c r="G301">
        <v>2150.395</v>
      </c>
      <c r="H301" s="3" t="s">
        <v>624</v>
      </c>
      <c r="I301" t="s">
        <v>1932</v>
      </c>
      <c r="J301" t="s">
        <v>1952</v>
      </c>
      <c r="U301" t="s">
        <v>625</v>
      </c>
    </row>
    <row r="302" spans="1:21" hidden="1" x14ac:dyDescent="0.25">
      <c r="A302">
        <v>336</v>
      </c>
      <c r="C302" t="s">
        <v>521</v>
      </c>
      <c r="D302" t="s">
        <v>47</v>
      </c>
      <c r="E302" t="s">
        <v>32</v>
      </c>
      <c r="F302">
        <v>2179.5880000000002</v>
      </c>
      <c r="G302">
        <v>2189.0430000000001</v>
      </c>
      <c r="H302" s="3" t="s">
        <v>803</v>
      </c>
      <c r="I302" t="s">
        <v>1932</v>
      </c>
      <c r="J302" t="s">
        <v>2101</v>
      </c>
      <c r="U302" t="s">
        <v>804</v>
      </c>
    </row>
    <row r="303" spans="1:21" hidden="1" x14ac:dyDescent="0.25">
      <c r="A303">
        <v>263</v>
      </c>
      <c r="C303" t="s">
        <v>521</v>
      </c>
      <c r="D303" t="s">
        <v>19</v>
      </c>
      <c r="E303" t="s">
        <v>626</v>
      </c>
      <c r="F303">
        <v>2182.9110000000001</v>
      </c>
      <c r="G303">
        <v>2193.4690000000001</v>
      </c>
      <c r="H303" s="3" t="s">
        <v>627</v>
      </c>
      <c r="I303" t="s">
        <v>1932</v>
      </c>
      <c r="J303" t="s">
        <v>1957</v>
      </c>
      <c r="U303" t="s">
        <v>628</v>
      </c>
    </row>
    <row r="304" spans="1:21" hidden="1" x14ac:dyDescent="0.25">
      <c r="A304">
        <v>264</v>
      </c>
      <c r="C304" t="s">
        <v>521</v>
      </c>
      <c r="D304" t="s">
        <v>19</v>
      </c>
      <c r="E304" t="s">
        <v>629</v>
      </c>
      <c r="F304">
        <v>2284.1350000000002</v>
      </c>
      <c r="G304">
        <v>2297.5360000000001</v>
      </c>
      <c r="H304" s="3" t="s">
        <v>630</v>
      </c>
      <c r="I304" t="s">
        <v>1932</v>
      </c>
      <c r="J304" t="s">
        <v>2101</v>
      </c>
      <c r="K304">
        <v>315</v>
      </c>
      <c r="U304" t="s">
        <v>631</v>
      </c>
    </row>
    <row r="305" spans="1:21" hidden="1" x14ac:dyDescent="0.25">
      <c r="A305">
        <v>315</v>
      </c>
      <c r="C305" t="s">
        <v>521</v>
      </c>
      <c r="D305" t="s">
        <v>118</v>
      </c>
      <c r="E305" t="s">
        <v>190</v>
      </c>
      <c r="F305">
        <v>2289.5360000000001</v>
      </c>
      <c r="G305">
        <v>2300.712</v>
      </c>
      <c r="H305" s="3" t="s">
        <v>761</v>
      </c>
      <c r="I305" t="s">
        <v>1932</v>
      </c>
      <c r="J305" t="s">
        <v>2101</v>
      </c>
      <c r="K305">
        <v>264</v>
      </c>
      <c r="U305" t="s">
        <v>762</v>
      </c>
    </row>
    <row r="306" spans="1:21" hidden="1" x14ac:dyDescent="0.25">
      <c r="A306">
        <v>265</v>
      </c>
      <c r="C306" t="s">
        <v>521</v>
      </c>
      <c r="D306" t="s">
        <v>19</v>
      </c>
      <c r="E306" t="s">
        <v>632</v>
      </c>
      <c r="F306">
        <v>2307.366</v>
      </c>
      <c r="G306">
        <v>2317.3919999999998</v>
      </c>
      <c r="H306" s="3" t="s">
        <v>633</v>
      </c>
      <c r="I306" t="s">
        <v>1932</v>
      </c>
      <c r="J306" t="s">
        <v>2101</v>
      </c>
      <c r="U306" t="s">
        <v>634</v>
      </c>
    </row>
    <row r="307" spans="1:21" hidden="1" x14ac:dyDescent="0.25">
      <c r="A307">
        <v>316</v>
      </c>
      <c r="C307" t="s">
        <v>521</v>
      </c>
      <c r="D307" t="s">
        <v>118</v>
      </c>
      <c r="E307" t="s">
        <v>193</v>
      </c>
      <c r="F307">
        <v>2346.0729999999999</v>
      </c>
      <c r="G307">
        <v>2358.5630000000001</v>
      </c>
      <c r="H307" s="3" t="s">
        <v>763</v>
      </c>
      <c r="I307" t="s">
        <v>1932</v>
      </c>
      <c r="J307" t="s">
        <v>1933</v>
      </c>
      <c r="U307" t="s">
        <v>764</v>
      </c>
    </row>
    <row r="308" spans="1:21" hidden="1" x14ac:dyDescent="0.25">
      <c r="A308">
        <v>266</v>
      </c>
      <c r="C308" t="s">
        <v>521</v>
      </c>
      <c r="D308" t="s">
        <v>19</v>
      </c>
      <c r="E308" t="s">
        <v>635</v>
      </c>
      <c r="F308">
        <v>2355.3780000000002</v>
      </c>
      <c r="G308">
        <v>2368.04</v>
      </c>
      <c r="H308" s="3" t="s">
        <v>636</v>
      </c>
      <c r="I308" t="s">
        <v>1932</v>
      </c>
      <c r="J308" t="s">
        <v>2101</v>
      </c>
      <c r="U308" t="s">
        <v>637</v>
      </c>
    </row>
    <row r="309" spans="1:21" hidden="1" x14ac:dyDescent="0.25">
      <c r="A309">
        <v>267</v>
      </c>
      <c r="C309" t="s">
        <v>521</v>
      </c>
      <c r="D309" t="s">
        <v>19</v>
      </c>
      <c r="E309" t="s">
        <v>638</v>
      </c>
      <c r="F309">
        <v>2374.5309999999999</v>
      </c>
      <c r="G309">
        <v>2386.9459999999999</v>
      </c>
      <c r="H309" s="3" t="s">
        <v>639</v>
      </c>
      <c r="I309" t="s">
        <v>1932</v>
      </c>
      <c r="J309" t="s">
        <v>2101</v>
      </c>
      <c r="K309" t="s">
        <v>2171</v>
      </c>
      <c r="U309" t="s">
        <v>640</v>
      </c>
    </row>
    <row r="310" spans="1:21" hidden="1" x14ac:dyDescent="0.25">
      <c r="A310">
        <v>337</v>
      </c>
      <c r="C310" t="s">
        <v>521</v>
      </c>
      <c r="D310" t="s">
        <v>47</v>
      </c>
      <c r="E310" t="s">
        <v>35</v>
      </c>
      <c r="F310">
        <v>2374.5309999999999</v>
      </c>
      <c r="G310">
        <v>2386.9459999999999</v>
      </c>
      <c r="H310" s="3" t="s">
        <v>805</v>
      </c>
      <c r="I310" t="s">
        <v>1932</v>
      </c>
      <c r="J310" t="s">
        <v>2101</v>
      </c>
      <c r="K310" t="s">
        <v>2172</v>
      </c>
      <c r="U310" t="s">
        <v>640</v>
      </c>
    </row>
    <row r="311" spans="1:21" hidden="1" x14ac:dyDescent="0.25">
      <c r="A311">
        <v>268</v>
      </c>
      <c r="C311" t="s">
        <v>521</v>
      </c>
      <c r="D311" t="s">
        <v>19</v>
      </c>
      <c r="E311" t="s">
        <v>641</v>
      </c>
      <c r="F311">
        <v>2383.1669999999999</v>
      </c>
      <c r="G311">
        <v>2393.8539999999998</v>
      </c>
      <c r="H311" s="3" t="s">
        <v>642</v>
      </c>
      <c r="I311" t="s">
        <v>1932</v>
      </c>
      <c r="J311" t="s">
        <v>2101</v>
      </c>
      <c r="K311" t="s">
        <v>2169</v>
      </c>
      <c r="U311" t="s">
        <v>643</v>
      </c>
    </row>
    <row r="312" spans="1:21" hidden="1" x14ac:dyDescent="0.25">
      <c r="A312">
        <v>269</v>
      </c>
      <c r="C312" t="s">
        <v>521</v>
      </c>
      <c r="D312" t="s">
        <v>19</v>
      </c>
      <c r="E312" t="s">
        <v>644</v>
      </c>
      <c r="F312">
        <v>2385.8539999999998</v>
      </c>
      <c r="G312">
        <v>2399.4720000000002</v>
      </c>
      <c r="H312" t="s">
        <v>645</v>
      </c>
      <c r="I312" t="s">
        <v>1932</v>
      </c>
      <c r="J312" t="s">
        <v>2101</v>
      </c>
      <c r="K312" t="s">
        <v>2170</v>
      </c>
      <c r="U312" t="s">
        <v>646</v>
      </c>
    </row>
    <row r="313" spans="1:21" hidden="1" x14ac:dyDescent="0.25">
      <c r="A313">
        <v>270</v>
      </c>
      <c r="C313" t="s">
        <v>521</v>
      </c>
      <c r="D313" t="s">
        <v>19</v>
      </c>
      <c r="E313" t="s">
        <v>647</v>
      </c>
      <c r="F313">
        <v>2392.105</v>
      </c>
      <c r="G313">
        <v>2403.9250000000002</v>
      </c>
      <c r="H313" s="3" t="s">
        <v>648</v>
      </c>
      <c r="I313" t="s">
        <v>1932</v>
      </c>
      <c r="J313" t="s">
        <v>1940</v>
      </c>
      <c r="U313" t="s">
        <v>649</v>
      </c>
    </row>
    <row r="314" spans="1:21" hidden="1" x14ac:dyDescent="0.25">
      <c r="A314">
        <v>271</v>
      </c>
      <c r="C314" t="s">
        <v>521</v>
      </c>
      <c r="D314" t="s">
        <v>19</v>
      </c>
      <c r="E314" t="s">
        <v>650</v>
      </c>
      <c r="F314">
        <v>2557.4430000000002</v>
      </c>
      <c r="G314">
        <v>2567.3049999999998</v>
      </c>
      <c r="H314" s="3" t="s">
        <v>651</v>
      </c>
      <c r="I314" t="s">
        <v>1932</v>
      </c>
      <c r="J314" t="s">
        <v>1957</v>
      </c>
      <c r="K314" t="s">
        <v>2181</v>
      </c>
      <c r="U314" t="s">
        <v>652</v>
      </c>
    </row>
    <row r="315" spans="1:21" hidden="1" x14ac:dyDescent="0.25">
      <c r="A315">
        <v>318</v>
      </c>
      <c r="C315" t="s">
        <v>521</v>
      </c>
      <c r="D315" t="s">
        <v>118</v>
      </c>
      <c r="E315" t="s">
        <v>584</v>
      </c>
      <c r="F315">
        <v>2557.4430000000002</v>
      </c>
      <c r="G315">
        <v>2567.3049999999998</v>
      </c>
      <c r="H315" s="3" t="s">
        <v>767</v>
      </c>
      <c r="I315" t="s">
        <v>1932</v>
      </c>
      <c r="J315" t="s">
        <v>1957</v>
      </c>
      <c r="K315" t="s">
        <v>2182</v>
      </c>
      <c r="U315" t="s">
        <v>652</v>
      </c>
    </row>
    <row r="316" spans="1:21" hidden="1" x14ac:dyDescent="0.25">
      <c r="A316">
        <v>338</v>
      </c>
      <c r="C316" t="s">
        <v>521</v>
      </c>
      <c r="D316" t="s">
        <v>47</v>
      </c>
      <c r="E316" t="s">
        <v>38</v>
      </c>
      <c r="F316">
        <v>2557.4430000000002</v>
      </c>
      <c r="G316">
        <v>2567.3049999999998</v>
      </c>
      <c r="H316" s="3" t="s">
        <v>806</v>
      </c>
      <c r="I316" t="s">
        <v>1932</v>
      </c>
      <c r="J316" t="s">
        <v>1957</v>
      </c>
      <c r="K316" t="s">
        <v>2183</v>
      </c>
      <c r="U316" t="s">
        <v>652</v>
      </c>
    </row>
    <row r="317" spans="1:21" hidden="1" x14ac:dyDescent="0.25">
      <c r="A317">
        <v>272</v>
      </c>
      <c r="C317" t="s">
        <v>521</v>
      </c>
      <c r="D317" t="s">
        <v>19</v>
      </c>
      <c r="E317" t="s">
        <v>653</v>
      </c>
      <c r="F317">
        <v>2565.6129999999998</v>
      </c>
      <c r="G317">
        <v>2576.4949999999999</v>
      </c>
      <c r="H317" s="3" t="s">
        <v>654</v>
      </c>
      <c r="I317" t="s">
        <v>1932</v>
      </c>
      <c r="J317" t="s">
        <v>1957</v>
      </c>
      <c r="U317" t="s">
        <v>655</v>
      </c>
    </row>
    <row r="318" spans="1:21" hidden="1" x14ac:dyDescent="0.25">
      <c r="A318">
        <v>273</v>
      </c>
      <c r="C318" t="s">
        <v>521</v>
      </c>
      <c r="D318" t="s">
        <v>19</v>
      </c>
      <c r="E318" t="s">
        <v>656</v>
      </c>
      <c r="F318">
        <v>2598.942</v>
      </c>
      <c r="G318">
        <v>2608.239</v>
      </c>
      <c r="H318" s="3" t="s">
        <v>657</v>
      </c>
      <c r="I318" t="s">
        <v>1932</v>
      </c>
      <c r="J318" t="s">
        <v>1954</v>
      </c>
      <c r="U318" t="s">
        <v>658</v>
      </c>
    </row>
    <row r="319" spans="1:21" hidden="1" x14ac:dyDescent="0.25">
      <c r="A319">
        <v>320</v>
      </c>
      <c r="C319" t="s">
        <v>521</v>
      </c>
      <c r="D319" t="s">
        <v>118</v>
      </c>
      <c r="E319" t="s">
        <v>590</v>
      </c>
      <c r="F319">
        <v>2773.8910000000001</v>
      </c>
      <c r="G319">
        <v>2786.6610000000001</v>
      </c>
      <c r="H319" s="3" t="s">
        <v>770</v>
      </c>
      <c r="I319" t="s">
        <v>1932</v>
      </c>
      <c r="J319" t="s">
        <v>2106</v>
      </c>
      <c r="K319" t="s">
        <v>2188</v>
      </c>
      <c r="U319" t="s">
        <v>771</v>
      </c>
    </row>
    <row r="320" spans="1:21" hidden="1" x14ac:dyDescent="0.25">
      <c r="A320">
        <v>339</v>
      </c>
      <c r="C320" t="s">
        <v>521</v>
      </c>
      <c r="D320" t="s">
        <v>47</v>
      </c>
      <c r="E320" t="s">
        <v>41</v>
      </c>
      <c r="F320">
        <v>2779.3519999999999</v>
      </c>
      <c r="G320">
        <v>2791.7190000000001</v>
      </c>
      <c r="H320" s="3" t="s">
        <v>807</v>
      </c>
      <c r="I320" t="s">
        <v>1932</v>
      </c>
      <c r="J320" t="s">
        <v>2054</v>
      </c>
      <c r="K320" t="s">
        <v>2189</v>
      </c>
      <c r="L320" t="s">
        <v>1932</v>
      </c>
      <c r="M320" t="s">
        <v>1932</v>
      </c>
      <c r="N320" t="s">
        <v>1932</v>
      </c>
      <c r="O320" t="s">
        <v>1936</v>
      </c>
      <c r="P320" t="s">
        <v>1932</v>
      </c>
      <c r="Q320">
        <v>2</v>
      </c>
      <c r="T320" t="s">
        <v>2190</v>
      </c>
      <c r="U320" t="s">
        <v>808</v>
      </c>
    </row>
    <row r="321" spans="1:32" hidden="1" x14ac:dyDescent="0.25">
      <c r="A321">
        <v>322</v>
      </c>
      <c r="C321" t="s">
        <v>521</v>
      </c>
      <c r="D321" t="s">
        <v>118</v>
      </c>
      <c r="E321" t="s">
        <v>596</v>
      </c>
      <c r="F321">
        <v>2804.4789999999998</v>
      </c>
      <c r="G321">
        <v>2816.0439999999999</v>
      </c>
      <c r="H321" s="3" t="s">
        <v>774</v>
      </c>
      <c r="I321" t="s">
        <v>1932</v>
      </c>
      <c r="J321" t="s">
        <v>2106</v>
      </c>
      <c r="K321">
        <v>323</v>
      </c>
      <c r="U321" t="s">
        <v>775</v>
      </c>
    </row>
    <row r="322" spans="1:32" hidden="1" x14ac:dyDescent="0.25">
      <c r="A322">
        <v>323</v>
      </c>
      <c r="C322" t="s">
        <v>521</v>
      </c>
      <c r="D322" t="s">
        <v>118</v>
      </c>
      <c r="E322" t="s">
        <v>599</v>
      </c>
      <c r="F322">
        <v>2811.5129999999999</v>
      </c>
      <c r="G322">
        <v>2821.1280000000002</v>
      </c>
      <c r="H322" s="3" t="s">
        <v>776</v>
      </c>
      <c r="I322" t="s">
        <v>1932</v>
      </c>
      <c r="J322" t="s">
        <v>2106</v>
      </c>
      <c r="K322">
        <v>322</v>
      </c>
      <c r="U322" t="s">
        <v>777</v>
      </c>
    </row>
    <row r="323" spans="1:32" hidden="1" x14ac:dyDescent="0.25">
      <c r="A323">
        <v>340</v>
      </c>
      <c r="C323" t="s">
        <v>521</v>
      </c>
      <c r="D323" t="s">
        <v>47</v>
      </c>
      <c r="E323" t="s">
        <v>44</v>
      </c>
      <c r="F323">
        <v>2820.4879999999998</v>
      </c>
      <c r="G323">
        <v>2834.8679999999999</v>
      </c>
      <c r="H323" s="3" t="s">
        <v>809</v>
      </c>
      <c r="I323" t="s">
        <v>1932</v>
      </c>
      <c r="J323" t="s">
        <v>2193</v>
      </c>
      <c r="U323" t="s">
        <v>810</v>
      </c>
    </row>
    <row r="324" spans="1:32" hidden="1" x14ac:dyDescent="0.25">
      <c r="A324">
        <v>324</v>
      </c>
      <c r="C324" t="s">
        <v>521</v>
      </c>
      <c r="D324" t="s">
        <v>118</v>
      </c>
      <c r="E324" t="s">
        <v>602</v>
      </c>
      <c r="F324">
        <v>2835.4110000000001</v>
      </c>
      <c r="G324">
        <v>2846.23</v>
      </c>
      <c r="H324" s="3" t="s">
        <v>778</v>
      </c>
      <c r="I324" t="s">
        <v>1932</v>
      </c>
      <c r="J324" t="s">
        <v>2101</v>
      </c>
      <c r="U324" t="s">
        <v>779</v>
      </c>
    </row>
    <row r="325" spans="1:32" hidden="1" x14ac:dyDescent="0.25">
      <c r="A325">
        <v>325</v>
      </c>
      <c r="C325" t="s">
        <v>521</v>
      </c>
      <c r="D325" t="s">
        <v>118</v>
      </c>
      <c r="E325" t="s">
        <v>605</v>
      </c>
      <c r="F325">
        <v>2845.317</v>
      </c>
      <c r="G325">
        <v>2856.3040000000001</v>
      </c>
      <c r="H325" s="3" t="s">
        <v>780</v>
      </c>
      <c r="I325" t="s">
        <v>1932</v>
      </c>
      <c r="J325" t="s">
        <v>2106</v>
      </c>
      <c r="U325" t="s">
        <v>781</v>
      </c>
    </row>
    <row r="326" spans="1:32" hidden="1" x14ac:dyDescent="0.25">
      <c r="A326">
        <v>275</v>
      </c>
      <c r="C326" t="s">
        <v>521</v>
      </c>
      <c r="D326" t="s">
        <v>19</v>
      </c>
      <c r="E326" t="s">
        <v>662</v>
      </c>
      <c r="F326">
        <v>2848.415</v>
      </c>
      <c r="G326">
        <v>2859.0509999999999</v>
      </c>
      <c r="H326" s="3" t="s">
        <v>663</v>
      </c>
      <c r="I326" t="s">
        <v>1932</v>
      </c>
      <c r="J326" t="s">
        <v>2101</v>
      </c>
      <c r="U326" t="s">
        <v>664</v>
      </c>
    </row>
    <row r="327" spans="1:32" hidden="1" x14ac:dyDescent="0.25">
      <c r="A327">
        <v>276</v>
      </c>
      <c r="C327" t="s">
        <v>521</v>
      </c>
      <c r="D327" t="s">
        <v>19</v>
      </c>
      <c r="E327" t="s">
        <v>665</v>
      </c>
      <c r="F327">
        <v>2881.4870000000001</v>
      </c>
      <c r="G327">
        <v>2892.7330000000002</v>
      </c>
      <c r="H327" s="3" t="s">
        <v>666</v>
      </c>
      <c r="I327" t="s">
        <v>1932</v>
      </c>
      <c r="J327" t="s">
        <v>2101</v>
      </c>
      <c r="U327" t="s">
        <v>667</v>
      </c>
    </row>
    <row r="328" spans="1:32" hidden="1" x14ac:dyDescent="0.25">
      <c r="A328">
        <v>277</v>
      </c>
      <c r="C328" t="s">
        <v>521</v>
      </c>
      <c r="D328" t="s">
        <v>19</v>
      </c>
      <c r="E328" t="s">
        <v>668</v>
      </c>
      <c r="F328">
        <v>2900.0970000000002</v>
      </c>
      <c r="G328">
        <v>2914.6149999999998</v>
      </c>
      <c r="H328" s="3" t="s">
        <v>669</v>
      </c>
      <c r="I328" t="s">
        <v>1932</v>
      </c>
      <c r="J328" t="s">
        <v>2101</v>
      </c>
      <c r="U328" t="s">
        <v>670</v>
      </c>
    </row>
    <row r="329" spans="1:32" hidden="1" x14ac:dyDescent="0.25">
      <c r="A329">
        <v>278</v>
      </c>
      <c r="C329" t="s">
        <v>521</v>
      </c>
      <c r="D329" t="s">
        <v>19</v>
      </c>
      <c r="E329" t="s">
        <v>671</v>
      </c>
      <c r="F329">
        <v>2916.0349999999999</v>
      </c>
      <c r="G329">
        <v>2925.8919999999998</v>
      </c>
      <c r="H329" s="3" t="s">
        <v>672</v>
      </c>
      <c r="I329" t="s">
        <v>1932</v>
      </c>
      <c r="J329" t="s">
        <v>2106</v>
      </c>
      <c r="K329">
        <v>341</v>
      </c>
      <c r="U329" t="s">
        <v>673</v>
      </c>
    </row>
    <row r="330" spans="1:32" hidden="1" x14ac:dyDescent="0.25">
      <c r="A330">
        <v>341</v>
      </c>
      <c r="C330" t="s">
        <v>521</v>
      </c>
      <c r="D330" t="s">
        <v>47</v>
      </c>
      <c r="E330" t="s">
        <v>85</v>
      </c>
      <c r="F330">
        <v>2916.0349999999999</v>
      </c>
      <c r="G330">
        <v>2925.8919999999998</v>
      </c>
      <c r="H330" s="3" t="s">
        <v>811</v>
      </c>
      <c r="I330" t="s">
        <v>1932</v>
      </c>
      <c r="J330" t="s">
        <v>2106</v>
      </c>
      <c r="K330">
        <v>278</v>
      </c>
      <c r="U330" t="s">
        <v>673</v>
      </c>
    </row>
    <row r="331" spans="1:32" hidden="1" x14ac:dyDescent="0.25">
      <c r="A331">
        <v>34</v>
      </c>
      <c r="C331" t="s">
        <v>65</v>
      </c>
      <c r="D331" t="s">
        <v>19</v>
      </c>
      <c r="E331" t="s">
        <v>106</v>
      </c>
      <c r="F331">
        <v>3216.3130000000001</v>
      </c>
      <c r="G331">
        <v>3224.8719999999998</v>
      </c>
      <c r="H331" s="3" t="s">
        <v>107</v>
      </c>
      <c r="I331" t="s">
        <v>1934</v>
      </c>
      <c r="J331" t="s">
        <v>1941</v>
      </c>
      <c r="L331" t="s">
        <v>1932</v>
      </c>
      <c r="M331" t="s">
        <v>1932</v>
      </c>
      <c r="N331" t="s">
        <v>1932</v>
      </c>
      <c r="O331" t="s">
        <v>1942</v>
      </c>
      <c r="P331" t="s">
        <v>1934</v>
      </c>
      <c r="Q331">
        <v>1</v>
      </c>
      <c r="T331" t="s">
        <v>2234</v>
      </c>
      <c r="U331" t="s">
        <v>108</v>
      </c>
    </row>
    <row r="332" spans="1:32" hidden="1" x14ac:dyDescent="0.25">
      <c r="A332">
        <v>36</v>
      </c>
      <c r="B332" t="s">
        <v>2242</v>
      </c>
      <c r="C332" t="s">
        <v>65</v>
      </c>
      <c r="D332" t="s">
        <v>19</v>
      </c>
      <c r="E332" t="s">
        <v>112</v>
      </c>
      <c r="F332">
        <v>3479.8270000000002</v>
      </c>
      <c r="G332">
        <v>3488.25</v>
      </c>
      <c r="H332" s="3" t="s">
        <v>113</v>
      </c>
      <c r="I332" t="s">
        <v>1934</v>
      </c>
      <c r="J332" t="s">
        <v>2042</v>
      </c>
      <c r="L332" t="s">
        <v>1932</v>
      </c>
      <c r="M332" t="s">
        <v>1932</v>
      </c>
      <c r="N332" t="s">
        <v>1932</v>
      </c>
      <c r="O332" t="s">
        <v>1942</v>
      </c>
      <c r="P332" t="s">
        <v>1934</v>
      </c>
      <c r="Q332">
        <v>1</v>
      </c>
      <c r="T332" t="s">
        <v>2041</v>
      </c>
      <c r="U332" t="s">
        <v>114</v>
      </c>
      <c r="W332" t="s">
        <v>2359</v>
      </c>
      <c r="X332">
        <v>1</v>
      </c>
      <c r="Z332" s="5"/>
      <c r="AA332">
        <v>1</v>
      </c>
      <c r="AB332" s="5"/>
      <c r="AD332">
        <v>1</v>
      </c>
      <c r="AE332" t="s">
        <v>2327</v>
      </c>
      <c r="AF332" t="s">
        <v>2327</v>
      </c>
    </row>
    <row r="333" spans="1:32" hidden="1" x14ac:dyDescent="0.25">
      <c r="A333">
        <v>37</v>
      </c>
      <c r="C333" t="s">
        <v>65</v>
      </c>
      <c r="D333" t="s">
        <v>19</v>
      </c>
      <c r="E333" t="s">
        <v>115</v>
      </c>
      <c r="F333">
        <v>3500.2739999999999</v>
      </c>
      <c r="G333">
        <v>3510.4169999999999</v>
      </c>
      <c r="H333" s="3" t="s">
        <v>116</v>
      </c>
      <c r="I333" t="s">
        <v>1934</v>
      </c>
      <c r="J333" t="s">
        <v>2042</v>
      </c>
      <c r="L333" t="s">
        <v>1932</v>
      </c>
      <c r="M333" t="s">
        <v>1932</v>
      </c>
      <c r="N333" t="s">
        <v>1932</v>
      </c>
      <c r="O333" t="s">
        <v>1936</v>
      </c>
      <c r="P333" t="s">
        <v>1934</v>
      </c>
      <c r="Q333">
        <v>1</v>
      </c>
      <c r="T333" t="s">
        <v>2043</v>
      </c>
      <c r="U333" t="s">
        <v>117</v>
      </c>
    </row>
    <row r="334" spans="1:32" hidden="1" x14ac:dyDescent="0.25">
      <c r="A334">
        <v>39</v>
      </c>
      <c r="C334" t="s">
        <v>65</v>
      </c>
      <c r="D334" t="s">
        <v>118</v>
      </c>
      <c r="E334" t="s">
        <v>23</v>
      </c>
      <c r="F334">
        <v>1669.7260000000001</v>
      </c>
      <c r="G334">
        <v>1678.35</v>
      </c>
      <c r="H334" s="3" t="s">
        <v>122</v>
      </c>
      <c r="I334" t="s">
        <v>1934</v>
      </c>
      <c r="L334" t="s">
        <v>1932</v>
      </c>
      <c r="M334" t="s">
        <v>1932</v>
      </c>
      <c r="N334" t="s">
        <v>1932</v>
      </c>
      <c r="O334" t="s">
        <v>1942</v>
      </c>
      <c r="P334" t="s">
        <v>1934</v>
      </c>
      <c r="Q334">
        <v>1</v>
      </c>
      <c r="T334" t="s">
        <v>2027</v>
      </c>
      <c r="U334" t="s">
        <v>123</v>
      </c>
    </row>
    <row r="335" spans="1:32" hidden="1" x14ac:dyDescent="0.25">
      <c r="A335">
        <v>40</v>
      </c>
      <c r="C335" t="s">
        <v>65</v>
      </c>
      <c r="D335" t="s">
        <v>118</v>
      </c>
      <c r="E335" t="s">
        <v>26</v>
      </c>
      <c r="F335">
        <v>1767.0930000000001</v>
      </c>
      <c r="G335">
        <v>1777.0409999999999</v>
      </c>
      <c r="H335" s="3" t="s">
        <v>124</v>
      </c>
      <c r="I335" t="s">
        <v>1934</v>
      </c>
      <c r="L335" t="s">
        <v>1932</v>
      </c>
      <c r="M335" t="s">
        <v>1932</v>
      </c>
      <c r="N335" t="s">
        <v>1932</v>
      </c>
      <c r="O335" t="s">
        <v>1942</v>
      </c>
      <c r="P335" t="s">
        <v>1934</v>
      </c>
      <c r="Q335">
        <v>1</v>
      </c>
      <c r="T335" t="s">
        <v>2030</v>
      </c>
      <c r="U335" t="s">
        <v>125</v>
      </c>
    </row>
    <row r="336" spans="1:32" hidden="1" x14ac:dyDescent="0.25">
      <c r="A336">
        <v>43</v>
      </c>
      <c r="B336" t="s">
        <v>2243</v>
      </c>
      <c r="C336" t="s">
        <v>65</v>
      </c>
      <c r="D336" t="s">
        <v>118</v>
      </c>
      <c r="E336" t="s">
        <v>35</v>
      </c>
      <c r="F336">
        <v>3531.0230000000001</v>
      </c>
      <c r="G336">
        <v>3539.9960000000001</v>
      </c>
      <c r="H336" s="3" t="s">
        <v>130</v>
      </c>
      <c r="I336" t="s">
        <v>1934</v>
      </c>
      <c r="L336" t="s">
        <v>1932</v>
      </c>
      <c r="M336" t="s">
        <v>1934</v>
      </c>
      <c r="N336" t="s">
        <v>1932</v>
      </c>
      <c r="O336" t="s">
        <v>1942</v>
      </c>
      <c r="P336" t="s">
        <v>1934</v>
      </c>
      <c r="Q336">
        <v>1</v>
      </c>
      <c r="T336" t="s">
        <v>2044</v>
      </c>
      <c r="U336" t="s">
        <v>131</v>
      </c>
      <c r="W336" t="s">
        <v>2359</v>
      </c>
      <c r="X336">
        <v>1</v>
      </c>
      <c r="Z336" s="5"/>
      <c r="AA336">
        <v>1</v>
      </c>
      <c r="AB336" s="5"/>
      <c r="AD336">
        <v>1</v>
      </c>
      <c r="AE336" t="s">
        <v>2297</v>
      </c>
    </row>
    <row r="337" spans="1:32" hidden="1" x14ac:dyDescent="0.25">
      <c r="A337">
        <v>45</v>
      </c>
      <c r="C337" t="s">
        <v>132</v>
      </c>
      <c r="D337" t="s">
        <v>19</v>
      </c>
      <c r="E337" t="s">
        <v>23</v>
      </c>
      <c r="F337">
        <v>57.052</v>
      </c>
      <c r="G337">
        <v>68.861999999999995</v>
      </c>
      <c r="H337" s="3" t="s">
        <v>136</v>
      </c>
      <c r="I337" t="s">
        <v>1934</v>
      </c>
      <c r="K337">
        <v>46</v>
      </c>
      <c r="L337" t="s">
        <v>1932</v>
      </c>
      <c r="M337" t="s">
        <v>1932</v>
      </c>
      <c r="N337" t="s">
        <v>1932</v>
      </c>
      <c r="O337" t="s">
        <v>1955</v>
      </c>
      <c r="P337" t="s">
        <v>1934</v>
      </c>
      <c r="Q337">
        <v>1</v>
      </c>
      <c r="T337" t="s">
        <v>1971</v>
      </c>
      <c r="U337" t="s">
        <v>137</v>
      </c>
      <c r="V337" t="s">
        <v>138</v>
      </c>
    </row>
    <row r="338" spans="1:32" hidden="1" x14ac:dyDescent="0.25">
      <c r="A338">
        <v>46</v>
      </c>
      <c r="C338" t="s">
        <v>132</v>
      </c>
      <c r="D338" t="s">
        <v>19</v>
      </c>
      <c r="E338" t="s">
        <v>26</v>
      </c>
      <c r="F338">
        <v>61.203999999999994</v>
      </c>
      <c r="G338">
        <v>71.423000000000002</v>
      </c>
      <c r="H338" s="3" t="s">
        <v>139</v>
      </c>
      <c r="I338" t="s">
        <v>1934</v>
      </c>
      <c r="K338">
        <v>45</v>
      </c>
      <c r="L338" t="s">
        <v>1932</v>
      </c>
      <c r="M338" t="s">
        <v>1932</v>
      </c>
      <c r="N338" t="s">
        <v>1932</v>
      </c>
      <c r="O338" t="s">
        <v>1936</v>
      </c>
      <c r="P338" t="s">
        <v>1937</v>
      </c>
      <c r="Q338">
        <v>1</v>
      </c>
      <c r="R338" t="s">
        <v>1970</v>
      </c>
      <c r="T338" t="s">
        <v>1974</v>
      </c>
      <c r="U338" t="s">
        <v>140</v>
      </c>
      <c r="V338" t="s">
        <v>141</v>
      </c>
    </row>
    <row r="339" spans="1:32" hidden="1" x14ac:dyDescent="0.25">
      <c r="A339">
        <v>48</v>
      </c>
      <c r="B339" s="6" t="s">
        <v>2360</v>
      </c>
      <c r="C339" t="s">
        <v>132</v>
      </c>
      <c r="D339" t="s">
        <v>19</v>
      </c>
      <c r="E339" t="s">
        <v>32</v>
      </c>
      <c r="F339">
        <v>244.56</v>
      </c>
      <c r="G339">
        <v>254.66499999999999</v>
      </c>
      <c r="H339" s="3" t="s">
        <v>145</v>
      </c>
      <c r="I339" t="s">
        <v>1934</v>
      </c>
      <c r="L339" t="s">
        <v>1932</v>
      </c>
      <c r="M339" t="s">
        <v>1934</v>
      </c>
      <c r="N339" t="s">
        <v>1932</v>
      </c>
      <c r="O339" t="s">
        <v>1936</v>
      </c>
      <c r="P339" t="s">
        <v>1934</v>
      </c>
      <c r="Q339">
        <v>1</v>
      </c>
      <c r="T339" t="s">
        <v>1998</v>
      </c>
      <c r="U339" t="s">
        <v>146</v>
      </c>
      <c r="V339" t="s">
        <v>147</v>
      </c>
      <c r="W339" t="s">
        <v>2361</v>
      </c>
      <c r="X339">
        <v>2</v>
      </c>
      <c r="Y339" t="s">
        <v>2342</v>
      </c>
      <c r="Z339" s="5" t="s">
        <v>2342</v>
      </c>
      <c r="AA339">
        <v>1</v>
      </c>
      <c r="AB339" s="5"/>
      <c r="AD339">
        <v>2</v>
      </c>
      <c r="AE339" t="s">
        <v>2342</v>
      </c>
      <c r="AF339" t="s">
        <v>2342</v>
      </c>
    </row>
    <row r="340" spans="1:32" hidden="1" x14ac:dyDescent="0.25">
      <c r="A340">
        <v>49</v>
      </c>
      <c r="C340" t="s">
        <v>132</v>
      </c>
      <c r="D340" t="s">
        <v>19</v>
      </c>
      <c r="E340" t="s">
        <v>35</v>
      </c>
      <c r="F340">
        <v>375.40499999999997</v>
      </c>
      <c r="G340">
        <v>385.52800000000002</v>
      </c>
      <c r="H340" s="3" t="s">
        <v>148</v>
      </c>
      <c r="I340" t="s">
        <v>1934</v>
      </c>
      <c r="J340" t="s">
        <v>1946</v>
      </c>
      <c r="L340" t="s">
        <v>1932</v>
      </c>
      <c r="M340" t="s">
        <v>1932</v>
      </c>
      <c r="N340" t="s">
        <v>1932</v>
      </c>
      <c r="O340" t="s">
        <v>1936</v>
      </c>
      <c r="P340" t="s">
        <v>1934</v>
      </c>
      <c r="Q340">
        <v>1</v>
      </c>
      <c r="T340" t="s">
        <v>2052</v>
      </c>
      <c r="U340" t="s">
        <v>149</v>
      </c>
    </row>
    <row r="341" spans="1:32" hidden="1" x14ac:dyDescent="0.25">
      <c r="A341">
        <v>50</v>
      </c>
      <c r="C341" t="s">
        <v>132</v>
      </c>
      <c r="D341" t="s">
        <v>19</v>
      </c>
      <c r="E341" t="s">
        <v>38</v>
      </c>
      <c r="F341">
        <v>384.54599999999999</v>
      </c>
      <c r="G341">
        <v>393.09300000000002</v>
      </c>
      <c r="H341" s="3" t="s">
        <v>150</v>
      </c>
      <c r="I341" t="s">
        <v>1934</v>
      </c>
      <c r="L341" t="s">
        <v>1932</v>
      </c>
      <c r="M341" t="s">
        <v>1932</v>
      </c>
      <c r="N341" t="s">
        <v>1932</v>
      </c>
      <c r="O341" t="s">
        <v>1936</v>
      </c>
      <c r="P341" t="s">
        <v>1937</v>
      </c>
      <c r="Q341">
        <v>1</v>
      </c>
      <c r="T341" t="s">
        <v>2004</v>
      </c>
      <c r="U341" t="s">
        <v>151</v>
      </c>
    </row>
    <row r="342" spans="1:32" hidden="1" x14ac:dyDescent="0.25">
      <c r="A342">
        <v>64</v>
      </c>
      <c r="B342" t="s">
        <v>2258</v>
      </c>
      <c r="C342" t="s">
        <v>132</v>
      </c>
      <c r="D342" t="s">
        <v>19</v>
      </c>
      <c r="E342" t="s">
        <v>178</v>
      </c>
      <c r="F342">
        <v>2502.6210000000001</v>
      </c>
      <c r="G342">
        <v>2513.6280000000002</v>
      </c>
      <c r="H342" s="3" t="s">
        <v>179</v>
      </c>
      <c r="I342" t="s">
        <v>1934</v>
      </c>
      <c r="J342" t="s">
        <v>1950</v>
      </c>
      <c r="L342" t="s">
        <v>1932</v>
      </c>
      <c r="M342" t="s">
        <v>1932</v>
      </c>
      <c r="N342" t="s">
        <v>1934</v>
      </c>
      <c r="O342" t="s">
        <v>1936</v>
      </c>
      <c r="P342" t="s">
        <v>1932</v>
      </c>
      <c r="Q342">
        <v>2</v>
      </c>
      <c r="T342" t="s">
        <v>2035</v>
      </c>
      <c r="U342" t="s">
        <v>180</v>
      </c>
      <c r="W342" t="s">
        <v>2362</v>
      </c>
      <c r="X342">
        <v>0</v>
      </c>
      <c r="Y342" t="s">
        <v>2343</v>
      </c>
      <c r="Z342" t="s">
        <v>2343</v>
      </c>
      <c r="AA342">
        <v>1</v>
      </c>
      <c r="AD342">
        <v>0</v>
      </c>
      <c r="AE342" t="s">
        <v>2343</v>
      </c>
      <c r="AF342" t="s">
        <v>2343</v>
      </c>
    </row>
    <row r="343" spans="1:32" hidden="1" x14ac:dyDescent="0.25">
      <c r="A343">
        <v>61</v>
      </c>
      <c r="C343" t="s">
        <v>132</v>
      </c>
      <c r="D343" t="s">
        <v>19</v>
      </c>
      <c r="E343" t="s">
        <v>109</v>
      </c>
      <c r="F343">
        <v>2221.5520000000001</v>
      </c>
      <c r="G343">
        <v>2232.1680000000001</v>
      </c>
      <c r="H343" s="3" t="s">
        <v>172</v>
      </c>
      <c r="I343" t="s">
        <v>1932</v>
      </c>
      <c r="J343" t="s">
        <v>2231</v>
      </c>
      <c r="L343" t="s">
        <v>1932</v>
      </c>
      <c r="M343" t="s">
        <v>1932</v>
      </c>
      <c r="N343" t="s">
        <v>1932</v>
      </c>
      <c r="O343" t="s">
        <v>1942</v>
      </c>
      <c r="P343" t="s">
        <v>2095</v>
      </c>
      <c r="Q343">
        <v>4</v>
      </c>
      <c r="U343" t="s">
        <v>173</v>
      </c>
    </row>
    <row r="344" spans="1:32" hidden="1" x14ac:dyDescent="0.25">
      <c r="A344">
        <v>67</v>
      </c>
      <c r="B344" t="s">
        <v>2244</v>
      </c>
      <c r="C344" t="s">
        <v>132</v>
      </c>
      <c r="D344" t="s">
        <v>19</v>
      </c>
      <c r="E344" t="s">
        <v>187</v>
      </c>
      <c r="F344">
        <v>2936.9879999999998</v>
      </c>
      <c r="G344">
        <v>2949.623</v>
      </c>
      <c r="H344" s="3" t="s">
        <v>188</v>
      </c>
      <c r="I344" t="s">
        <v>1934</v>
      </c>
      <c r="L344" t="s">
        <v>1935</v>
      </c>
      <c r="M344" t="s">
        <v>1932</v>
      </c>
      <c r="N344" t="s">
        <v>1932</v>
      </c>
      <c r="O344" t="s">
        <v>1936</v>
      </c>
      <c r="P344" t="s">
        <v>1934</v>
      </c>
      <c r="Q344">
        <v>1</v>
      </c>
      <c r="T344" t="s">
        <v>2037</v>
      </c>
      <c r="U344" t="s">
        <v>189</v>
      </c>
      <c r="W344" t="s">
        <v>2359</v>
      </c>
      <c r="X344">
        <v>1</v>
      </c>
      <c r="Z344" s="5"/>
      <c r="AA344">
        <v>1</v>
      </c>
      <c r="AB344" s="5"/>
      <c r="AD344">
        <v>1</v>
      </c>
      <c r="AE344" t="s">
        <v>2344</v>
      </c>
      <c r="AF344" t="s">
        <v>2302</v>
      </c>
    </row>
    <row r="345" spans="1:32" hidden="1" x14ac:dyDescent="0.25">
      <c r="A345">
        <v>279</v>
      </c>
      <c r="C345" t="s">
        <v>521</v>
      </c>
      <c r="D345" t="s">
        <v>19</v>
      </c>
      <c r="E345" t="s">
        <v>674</v>
      </c>
      <c r="F345">
        <v>2967.5940000000001</v>
      </c>
      <c r="G345">
        <v>2978.346</v>
      </c>
      <c r="H345" s="3" t="s">
        <v>675</v>
      </c>
      <c r="I345" t="s">
        <v>1932</v>
      </c>
      <c r="J345" t="s">
        <v>1949</v>
      </c>
      <c r="U345" t="s">
        <v>676</v>
      </c>
    </row>
    <row r="346" spans="1:32" hidden="1" x14ac:dyDescent="0.25">
      <c r="A346">
        <v>66</v>
      </c>
      <c r="C346" t="s">
        <v>132</v>
      </c>
      <c r="D346" t="s">
        <v>19</v>
      </c>
      <c r="E346" t="s">
        <v>184</v>
      </c>
      <c r="F346">
        <v>2864.558</v>
      </c>
      <c r="G346">
        <v>2875.72</v>
      </c>
      <c r="H346" s="3" t="s">
        <v>185</v>
      </c>
      <c r="I346" t="s">
        <v>1934</v>
      </c>
      <c r="L346" t="s">
        <v>1935</v>
      </c>
      <c r="M346" t="s">
        <v>1932</v>
      </c>
      <c r="N346" t="s">
        <v>1932</v>
      </c>
      <c r="O346" t="s">
        <v>1936</v>
      </c>
      <c r="P346" t="s">
        <v>1934</v>
      </c>
      <c r="Q346">
        <v>1</v>
      </c>
      <c r="T346" t="s">
        <v>2036</v>
      </c>
      <c r="U346" t="s">
        <v>186</v>
      </c>
    </row>
    <row r="347" spans="1:32" hidden="1" x14ac:dyDescent="0.25">
      <c r="A347">
        <v>57</v>
      </c>
      <c r="B347" t="s">
        <v>2245</v>
      </c>
      <c r="C347" t="s">
        <v>132</v>
      </c>
      <c r="D347" t="s">
        <v>19</v>
      </c>
      <c r="E347" t="s">
        <v>97</v>
      </c>
      <c r="F347">
        <v>993.63400000000001</v>
      </c>
      <c r="G347">
        <v>1003.575</v>
      </c>
      <c r="H347" s="3" t="s">
        <v>164</v>
      </c>
      <c r="I347" t="s">
        <v>1934</v>
      </c>
      <c r="J347" t="s">
        <v>1946</v>
      </c>
      <c r="L347" t="s">
        <v>2012</v>
      </c>
      <c r="M347" t="s">
        <v>1932</v>
      </c>
      <c r="N347" t="s">
        <v>1932</v>
      </c>
      <c r="O347" t="s">
        <v>1936</v>
      </c>
      <c r="P347" t="s">
        <v>1934</v>
      </c>
      <c r="Q347">
        <v>1</v>
      </c>
      <c r="T347" t="s">
        <v>2011</v>
      </c>
      <c r="U347" t="s">
        <v>165</v>
      </c>
      <c r="W347" t="s">
        <v>2359</v>
      </c>
      <c r="X347">
        <v>1</v>
      </c>
      <c r="Y347" t="s">
        <v>2346</v>
      </c>
      <c r="Z347" s="5"/>
      <c r="AA347">
        <v>1</v>
      </c>
      <c r="AB347" s="5"/>
      <c r="AD347">
        <v>2</v>
      </c>
      <c r="AE347" s="6" t="s">
        <v>2363</v>
      </c>
    </row>
    <row r="348" spans="1:32" hidden="1" x14ac:dyDescent="0.25">
      <c r="A348">
        <v>72</v>
      </c>
      <c r="C348" t="s">
        <v>132</v>
      </c>
      <c r="D348" t="s">
        <v>118</v>
      </c>
      <c r="E348" t="s">
        <v>26</v>
      </c>
      <c r="F348">
        <v>2154.2739999999999</v>
      </c>
      <c r="G348">
        <v>2165.6460000000002</v>
      </c>
      <c r="H348" s="3" t="s">
        <v>201</v>
      </c>
      <c r="I348" t="s">
        <v>1934</v>
      </c>
      <c r="L348" t="s">
        <v>1965</v>
      </c>
      <c r="M348" t="s">
        <v>1932</v>
      </c>
      <c r="N348" t="s">
        <v>1932</v>
      </c>
      <c r="O348" t="s">
        <v>1955</v>
      </c>
      <c r="P348" t="s">
        <v>1934</v>
      </c>
      <c r="Q348">
        <v>1</v>
      </c>
      <c r="T348" t="s">
        <v>2034</v>
      </c>
      <c r="U348" t="s">
        <v>202</v>
      </c>
    </row>
    <row r="349" spans="1:32" hidden="1" x14ac:dyDescent="0.25">
      <c r="A349">
        <v>73</v>
      </c>
      <c r="C349" t="s">
        <v>132</v>
      </c>
      <c r="D349" t="s">
        <v>47</v>
      </c>
      <c r="E349" t="s">
        <v>20</v>
      </c>
      <c r="F349">
        <v>269.22399999999999</v>
      </c>
      <c r="G349">
        <v>277.726</v>
      </c>
      <c r="H349" s="3" t="s">
        <v>203</v>
      </c>
      <c r="I349" t="s">
        <v>1934</v>
      </c>
      <c r="J349" t="s">
        <v>1941</v>
      </c>
      <c r="L349" t="s">
        <v>1932</v>
      </c>
      <c r="M349" t="s">
        <v>1932</v>
      </c>
      <c r="N349" t="s">
        <v>1932</v>
      </c>
      <c r="O349" t="s">
        <v>1942</v>
      </c>
      <c r="P349" t="s">
        <v>1937</v>
      </c>
      <c r="Q349">
        <v>2</v>
      </c>
      <c r="T349" t="s">
        <v>1999</v>
      </c>
      <c r="U349" t="s">
        <v>204</v>
      </c>
      <c r="V349" t="s">
        <v>205</v>
      </c>
    </row>
    <row r="350" spans="1:32" hidden="1" x14ac:dyDescent="0.25">
      <c r="A350">
        <v>75</v>
      </c>
      <c r="B350" t="s">
        <v>2374</v>
      </c>
      <c r="C350" t="s">
        <v>132</v>
      </c>
      <c r="D350" t="s">
        <v>47</v>
      </c>
      <c r="E350" t="s">
        <v>26</v>
      </c>
      <c r="F350">
        <v>611.34500000000003</v>
      </c>
      <c r="G350">
        <v>621.23500000000001</v>
      </c>
      <c r="H350" s="3" t="s">
        <v>209</v>
      </c>
      <c r="I350" t="s">
        <v>1934</v>
      </c>
      <c r="L350" t="s">
        <v>1932</v>
      </c>
      <c r="M350" t="s">
        <v>1932</v>
      </c>
      <c r="N350" t="s">
        <v>1932</v>
      </c>
      <c r="O350" t="s">
        <v>1936</v>
      </c>
      <c r="P350" t="s">
        <v>1932</v>
      </c>
      <c r="Q350">
        <v>2</v>
      </c>
      <c r="T350" t="s">
        <v>2006</v>
      </c>
      <c r="U350" t="s">
        <v>210</v>
      </c>
    </row>
    <row r="351" spans="1:32" hidden="1" x14ac:dyDescent="0.25">
      <c r="A351">
        <v>97</v>
      </c>
      <c r="C351" t="s">
        <v>252</v>
      </c>
      <c r="D351" t="s">
        <v>19</v>
      </c>
      <c r="E351" t="s">
        <v>23</v>
      </c>
      <c r="F351">
        <v>908.53800000000001</v>
      </c>
      <c r="G351">
        <v>917.04399999999998</v>
      </c>
      <c r="H351" s="3" t="s">
        <v>255</v>
      </c>
      <c r="I351" t="s">
        <v>1934</v>
      </c>
      <c r="L351" t="s">
        <v>1932</v>
      </c>
      <c r="M351" t="s">
        <v>1932</v>
      </c>
      <c r="N351" t="s">
        <v>1932</v>
      </c>
      <c r="O351" t="s">
        <v>1936</v>
      </c>
      <c r="P351" t="s">
        <v>1934</v>
      </c>
      <c r="Q351">
        <v>1</v>
      </c>
      <c r="T351" t="s">
        <v>2009</v>
      </c>
      <c r="U351" t="s">
        <v>256</v>
      </c>
    </row>
    <row r="352" spans="1:32" hidden="1" x14ac:dyDescent="0.25">
      <c r="A352">
        <v>547</v>
      </c>
      <c r="B352" t="s">
        <v>2251</v>
      </c>
      <c r="C352" t="s">
        <v>1157</v>
      </c>
      <c r="D352" t="s">
        <v>118</v>
      </c>
      <c r="E352" t="s">
        <v>100</v>
      </c>
      <c r="F352">
        <v>3605.7539999999999</v>
      </c>
      <c r="G352">
        <v>3615.924</v>
      </c>
      <c r="H352" s="3" t="s">
        <v>1234</v>
      </c>
      <c r="I352" t="s">
        <v>1934</v>
      </c>
      <c r="L352" t="s">
        <v>1932</v>
      </c>
      <c r="M352" t="s">
        <v>1932</v>
      </c>
      <c r="N352" t="s">
        <v>1932</v>
      </c>
      <c r="O352" t="s">
        <v>1936</v>
      </c>
      <c r="P352" t="s">
        <v>1934</v>
      </c>
      <c r="Q352">
        <v>1</v>
      </c>
      <c r="T352" t="s">
        <v>2221</v>
      </c>
      <c r="U352" t="s">
        <v>1235</v>
      </c>
      <c r="W352" t="s">
        <v>2359</v>
      </c>
      <c r="X352">
        <v>1</v>
      </c>
      <c r="Z352" s="5"/>
      <c r="AA352">
        <v>1</v>
      </c>
      <c r="AB352" s="5"/>
      <c r="AC352" t="s">
        <v>2297</v>
      </c>
      <c r="AD352">
        <v>1</v>
      </c>
    </row>
    <row r="353" spans="1:32" hidden="1" x14ac:dyDescent="0.25">
      <c r="A353">
        <v>511</v>
      </c>
      <c r="C353" t="s">
        <v>1157</v>
      </c>
      <c r="D353" t="s">
        <v>19</v>
      </c>
      <c r="E353" t="s">
        <v>20</v>
      </c>
      <c r="F353">
        <v>757.71</v>
      </c>
      <c r="G353">
        <v>766.30100000000004</v>
      </c>
      <c r="H353" s="3" t="s">
        <v>1158</v>
      </c>
      <c r="I353" t="s">
        <v>1934</v>
      </c>
      <c r="L353" t="s">
        <v>1932</v>
      </c>
      <c r="M353" t="s">
        <v>1932</v>
      </c>
      <c r="N353" t="s">
        <v>1932</v>
      </c>
      <c r="O353" t="s">
        <v>1942</v>
      </c>
      <c r="P353" t="s">
        <v>1934</v>
      </c>
      <c r="Q353">
        <v>1</v>
      </c>
      <c r="T353" t="s">
        <v>2083</v>
      </c>
      <c r="U353" t="s">
        <v>1159</v>
      </c>
      <c r="V353" t="s">
        <v>1160</v>
      </c>
    </row>
    <row r="354" spans="1:32" hidden="1" x14ac:dyDescent="0.25">
      <c r="A354">
        <v>533</v>
      </c>
      <c r="C354" t="s">
        <v>1157</v>
      </c>
      <c r="D354" t="s">
        <v>118</v>
      </c>
      <c r="E354" t="s">
        <v>20</v>
      </c>
      <c r="F354">
        <v>190.88200000000001</v>
      </c>
      <c r="G354">
        <v>200.89099999999999</v>
      </c>
      <c r="H354" s="3" t="s">
        <v>1204</v>
      </c>
      <c r="I354" t="s">
        <v>1934</v>
      </c>
      <c r="L354" t="s">
        <v>1932</v>
      </c>
      <c r="M354" t="s">
        <v>1932</v>
      </c>
      <c r="N354" t="s">
        <v>1932</v>
      </c>
      <c r="O354" t="s">
        <v>1955</v>
      </c>
      <c r="P354" t="s">
        <v>1934</v>
      </c>
      <c r="Q354">
        <v>1</v>
      </c>
      <c r="T354" t="s">
        <v>1991</v>
      </c>
      <c r="U354" t="s">
        <v>1205</v>
      </c>
      <c r="V354" t="s">
        <v>1160</v>
      </c>
    </row>
    <row r="355" spans="1:32" hidden="1" x14ac:dyDescent="0.25">
      <c r="A355">
        <v>548</v>
      </c>
      <c r="B355" t="s">
        <v>2252</v>
      </c>
      <c r="C355" t="s">
        <v>1157</v>
      </c>
      <c r="D355" t="s">
        <v>47</v>
      </c>
      <c r="E355" t="s">
        <v>20</v>
      </c>
      <c r="F355">
        <v>71.430000000000007</v>
      </c>
      <c r="G355">
        <v>80.991</v>
      </c>
      <c r="H355" s="3" t="s">
        <v>1236</v>
      </c>
      <c r="I355" t="s">
        <v>1934</v>
      </c>
      <c r="J355" t="s">
        <v>2101</v>
      </c>
      <c r="L355" t="s">
        <v>1932</v>
      </c>
      <c r="M355" t="s">
        <v>1932</v>
      </c>
      <c r="N355" t="s">
        <v>1932</v>
      </c>
      <c r="O355" t="s">
        <v>1936</v>
      </c>
      <c r="P355" t="s">
        <v>1934</v>
      </c>
      <c r="Q355">
        <v>1</v>
      </c>
      <c r="T355" t="s">
        <v>1973</v>
      </c>
      <c r="U355" t="s">
        <v>1237</v>
      </c>
      <c r="V355" t="s">
        <v>1160</v>
      </c>
      <c r="W355" t="s">
        <v>1934</v>
      </c>
      <c r="X355">
        <v>2</v>
      </c>
      <c r="Z355" s="5" t="s">
        <v>2347</v>
      </c>
      <c r="AA355">
        <v>1</v>
      </c>
      <c r="AC355" s="5"/>
      <c r="AD355">
        <v>1</v>
      </c>
    </row>
    <row r="356" spans="1:32" hidden="1" x14ac:dyDescent="0.25">
      <c r="A356">
        <v>678</v>
      </c>
      <c r="B356" t="s">
        <v>2254</v>
      </c>
      <c r="C356" t="s">
        <v>1508</v>
      </c>
      <c r="D356" t="s">
        <v>19</v>
      </c>
      <c r="E356" t="s">
        <v>32</v>
      </c>
      <c r="F356">
        <v>2077.3130000000001</v>
      </c>
      <c r="G356">
        <v>2085.7840000000001</v>
      </c>
      <c r="H356" s="3" t="s">
        <v>1517</v>
      </c>
      <c r="I356" t="s">
        <v>1934</v>
      </c>
      <c r="K356">
        <v>685</v>
      </c>
      <c r="L356" t="s">
        <v>1932</v>
      </c>
      <c r="M356" t="s">
        <v>1932</v>
      </c>
      <c r="N356" t="s">
        <v>1932</v>
      </c>
      <c r="O356" t="s">
        <v>1936</v>
      </c>
      <c r="P356" t="s">
        <v>1934</v>
      </c>
      <c r="Q356">
        <v>1</v>
      </c>
      <c r="T356" t="s">
        <v>2160</v>
      </c>
      <c r="U356" t="s">
        <v>1518</v>
      </c>
      <c r="W356" t="s">
        <v>1934</v>
      </c>
      <c r="X356">
        <v>1</v>
      </c>
      <c r="Z356" s="5"/>
      <c r="AA356">
        <v>1</v>
      </c>
      <c r="AB356" s="5"/>
      <c r="AD356">
        <v>2</v>
      </c>
      <c r="AE356" t="s">
        <v>2348</v>
      </c>
      <c r="AF356" t="s">
        <v>2302</v>
      </c>
    </row>
    <row r="357" spans="1:32" hidden="1" x14ac:dyDescent="0.25">
      <c r="A357">
        <v>145</v>
      </c>
      <c r="C357" t="s">
        <v>352</v>
      </c>
      <c r="D357" t="s">
        <v>19</v>
      </c>
      <c r="E357" t="s">
        <v>20</v>
      </c>
      <c r="F357">
        <v>39.918999999999997</v>
      </c>
      <c r="G357">
        <v>48.582999999999998</v>
      </c>
      <c r="H357" s="3" t="s">
        <v>353</v>
      </c>
      <c r="I357" t="s">
        <v>1934</v>
      </c>
      <c r="L357" t="s">
        <v>1932</v>
      </c>
      <c r="M357" t="s">
        <v>1932</v>
      </c>
      <c r="N357" t="s">
        <v>1932</v>
      </c>
      <c r="O357" t="s">
        <v>1936</v>
      </c>
      <c r="P357" t="s">
        <v>1934</v>
      </c>
      <c r="Q357">
        <v>1</v>
      </c>
      <c r="T357" t="s">
        <v>2147</v>
      </c>
      <c r="U357" t="s">
        <v>354</v>
      </c>
      <c r="V357" t="s">
        <v>355</v>
      </c>
    </row>
    <row r="358" spans="1:32" hidden="1" x14ac:dyDescent="0.25">
      <c r="A358">
        <v>156</v>
      </c>
      <c r="B358" t="s">
        <v>2375</v>
      </c>
      <c r="C358" t="s">
        <v>352</v>
      </c>
      <c r="D358" t="s">
        <v>118</v>
      </c>
      <c r="E358" t="s">
        <v>20</v>
      </c>
      <c r="F358">
        <v>770.32</v>
      </c>
      <c r="G358">
        <v>781.41099999999994</v>
      </c>
      <c r="H358" s="3" t="s">
        <v>377</v>
      </c>
      <c r="I358" t="s">
        <v>1934</v>
      </c>
      <c r="L358" t="s">
        <v>1932</v>
      </c>
      <c r="M358" t="s">
        <v>1932</v>
      </c>
      <c r="N358" t="s">
        <v>1932</v>
      </c>
      <c r="O358" t="s">
        <v>1942</v>
      </c>
      <c r="P358" t="s">
        <v>1932</v>
      </c>
      <c r="Q358">
        <v>2</v>
      </c>
      <c r="T358" t="s">
        <v>2084</v>
      </c>
      <c r="U358" t="s">
        <v>378</v>
      </c>
      <c r="V358" t="s">
        <v>355</v>
      </c>
    </row>
    <row r="359" spans="1:32" hidden="1" x14ac:dyDescent="0.25">
      <c r="A359">
        <v>622</v>
      </c>
      <c r="C359" t="s">
        <v>1391</v>
      </c>
      <c r="D359" t="s">
        <v>19</v>
      </c>
      <c r="E359" t="s">
        <v>29</v>
      </c>
      <c r="F359">
        <v>731.024</v>
      </c>
      <c r="G359">
        <v>740.51700000000005</v>
      </c>
      <c r="H359" s="3" t="s">
        <v>1399</v>
      </c>
      <c r="I359" t="s">
        <v>1934</v>
      </c>
      <c r="L359" t="s">
        <v>1932</v>
      </c>
      <c r="M359" t="s">
        <v>1932</v>
      </c>
      <c r="N359" t="s">
        <v>1932</v>
      </c>
      <c r="O359" t="s">
        <v>1936</v>
      </c>
      <c r="P359" t="s">
        <v>1934</v>
      </c>
      <c r="Q359">
        <v>1</v>
      </c>
      <c r="T359" t="s">
        <v>2228</v>
      </c>
      <c r="U359" t="s">
        <v>1400</v>
      </c>
      <c r="V359" t="s">
        <v>1394</v>
      </c>
    </row>
    <row r="360" spans="1:32" hidden="1" x14ac:dyDescent="0.25">
      <c r="A360">
        <v>681</v>
      </c>
      <c r="B360" t="s">
        <v>2273</v>
      </c>
      <c r="C360" t="s">
        <v>1508</v>
      </c>
      <c r="D360" t="s">
        <v>118</v>
      </c>
      <c r="E360" t="s">
        <v>26</v>
      </c>
      <c r="F360">
        <v>819.428</v>
      </c>
      <c r="G360">
        <v>830.08299999999997</v>
      </c>
      <c r="H360" s="3" t="s">
        <v>1524</v>
      </c>
      <c r="I360" t="s">
        <v>1934</v>
      </c>
      <c r="L360" t="s">
        <v>1932</v>
      </c>
      <c r="M360" t="s">
        <v>1932</v>
      </c>
      <c r="N360" t="s">
        <v>1932</v>
      </c>
      <c r="O360" t="s">
        <v>1936</v>
      </c>
      <c r="P360" t="s">
        <v>1932</v>
      </c>
      <c r="Q360">
        <v>2</v>
      </c>
      <c r="T360" t="s">
        <v>2090</v>
      </c>
      <c r="U360" t="s">
        <v>1525</v>
      </c>
      <c r="W360" t="s">
        <v>2364</v>
      </c>
      <c r="X360">
        <v>1</v>
      </c>
      <c r="Z360" s="5"/>
      <c r="AA360">
        <v>2</v>
      </c>
      <c r="AB360" t="s">
        <v>2349</v>
      </c>
      <c r="AC360" s="5" t="s">
        <v>2349</v>
      </c>
      <c r="AD360">
        <v>2</v>
      </c>
      <c r="AE360" t="s">
        <v>2349</v>
      </c>
      <c r="AF360" t="s">
        <v>2349</v>
      </c>
    </row>
    <row r="361" spans="1:32" hidden="1" x14ac:dyDescent="0.25">
      <c r="A361">
        <v>631</v>
      </c>
      <c r="C361" t="s">
        <v>1391</v>
      </c>
      <c r="D361" t="s">
        <v>47</v>
      </c>
      <c r="E361" t="s">
        <v>29</v>
      </c>
      <c r="F361">
        <v>3656.8519999999999</v>
      </c>
      <c r="G361">
        <v>3665.56</v>
      </c>
      <c r="H361" s="3" t="s">
        <v>1418</v>
      </c>
      <c r="I361" t="s">
        <v>1934</v>
      </c>
      <c r="L361" t="s">
        <v>1932</v>
      </c>
      <c r="M361" t="s">
        <v>1932</v>
      </c>
      <c r="N361" t="s">
        <v>1932</v>
      </c>
      <c r="O361" t="s">
        <v>1936</v>
      </c>
      <c r="P361" t="s">
        <v>1934</v>
      </c>
      <c r="Q361">
        <v>1</v>
      </c>
      <c r="T361" t="s">
        <v>2222</v>
      </c>
      <c r="U361" t="s">
        <v>1419</v>
      </c>
    </row>
    <row r="362" spans="1:32" hidden="1" x14ac:dyDescent="0.25">
      <c r="A362">
        <v>177</v>
      </c>
      <c r="B362" t="s">
        <v>2376</v>
      </c>
      <c r="C362" t="s">
        <v>424</v>
      </c>
      <c r="D362" t="s">
        <v>19</v>
      </c>
      <c r="E362" t="s">
        <v>20</v>
      </c>
      <c r="F362">
        <v>203.852</v>
      </c>
      <c r="G362">
        <v>213.47300000000001</v>
      </c>
      <c r="H362" s="3" t="s">
        <v>425</v>
      </c>
      <c r="I362" t="s">
        <v>1934</v>
      </c>
      <c r="J362" t="s">
        <v>1954</v>
      </c>
      <c r="L362" t="s">
        <v>1932</v>
      </c>
      <c r="M362" t="s">
        <v>1932</v>
      </c>
      <c r="N362" t="s">
        <v>1932</v>
      </c>
      <c r="O362" t="s">
        <v>1936</v>
      </c>
      <c r="P362" t="s">
        <v>1934</v>
      </c>
      <c r="Q362">
        <v>4</v>
      </c>
      <c r="T362" t="s">
        <v>1993</v>
      </c>
      <c r="U362" t="s">
        <v>426</v>
      </c>
      <c r="V362" t="s">
        <v>427</v>
      </c>
    </row>
    <row r="363" spans="1:32" hidden="1" x14ac:dyDescent="0.25">
      <c r="A363">
        <v>714</v>
      </c>
      <c r="B363" t="s">
        <v>2275</v>
      </c>
      <c r="C363" t="s">
        <v>1555</v>
      </c>
      <c r="D363" t="s">
        <v>19</v>
      </c>
      <c r="E363" t="s">
        <v>115</v>
      </c>
      <c r="F363">
        <v>2158.9079999999999</v>
      </c>
      <c r="G363">
        <v>2169.1799999999998</v>
      </c>
      <c r="H363" s="3" t="s">
        <v>1599</v>
      </c>
      <c r="I363" t="s">
        <v>1934</v>
      </c>
      <c r="L363" t="s">
        <v>1932</v>
      </c>
      <c r="M363" t="s">
        <v>1932</v>
      </c>
      <c r="N363" t="s">
        <v>1932</v>
      </c>
      <c r="O363" t="s">
        <v>1936</v>
      </c>
      <c r="P363" t="s">
        <v>1932</v>
      </c>
      <c r="Q363">
        <v>2</v>
      </c>
      <c r="T363" t="s">
        <v>2162</v>
      </c>
      <c r="U363" t="s">
        <v>1600</v>
      </c>
      <c r="W363" t="s">
        <v>2359</v>
      </c>
      <c r="X363">
        <v>1</v>
      </c>
      <c r="Z363" s="5"/>
      <c r="AA363">
        <v>1</v>
      </c>
      <c r="AB363" s="5"/>
      <c r="AC363" t="s">
        <v>2297</v>
      </c>
      <c r="AD363">
        <v>1</v>
      </c>
      <c r="AF363" t="s">
        <v>2350</v>
      </c>
    </row>
    <row r="364" spans="1:32" hidden="1" x14ac:dyDescent="0.25">
      <c r="A364">
        <v>183</v>
      </c>
      <c r="C364" t="s">
        <v>424</v>
      </c>
      <c r="D364" t="s">
        <v>19</v>
      </c>
      <c r="E364" t="s">
        <v>38</v>
      </c>
      <c r="F364">
        <v>2362.3440000000001</v>
      </c>
      <c r="G364">
        <v>2373.5549999999998</v>
      </c>
      <c r="H364" s="3" t="s">
        <v>438</v>
      </c>
      <c r="I364" t="s">
        <v>1934</v>
      </c>
      <c r="L364" t="s">
        <v>1935</v>
      </c>
      <c r="M364" t="s">
        <v>1932</v>
      </c>
      <c r="N364" t="s">
        <v>1932</v>
      </c>
      <c r="O364" t="s">
        <v>1936</v>
      </c>
      <c r="P364" t="s">
        <v>1934</v>
      </c>
      <c r="Q364">
        <v>1</v>
      </c>
      <c r="T364" t="s">
        <v>2105</v>
      </c>
      <c r="U364" t="s">
        <v>439</v>
      </c>
    </row>
    <row r="365" spans="1:32" hidden="1" x14ac:dyDescent="0.25">
      <c r="A365">
        <v>249</v>
      </c>
      <c r="B365" t="s">
        <v>2246</v>
      </c>
      <c r="C365" t="s">
        <v>521</v>
      </c>
      <c r="D365" t="s">
        <v>19</v>
      </c>
      <c r="E365" t="s">
        <v>584</v>
      </c>
      <c r="F365">
        <v>1721.098</v>
      </c>
      <c r="G365">
        <v>1731.539</v>
      </c>
      <c r="H365" s="3" t="s">
        <v>585</v>
      </c>
      <c r="I365" t="s">
        <v>1934</v>
      </c>
      <c r="L365" t="s">
        <v>1932</v>
      </c>
      <c r="M365" t="s">
        <v>1932</v>
      </c>
      <c r="N365" t="s">
        <v>1932</v>
      </c>
      <c r="O365" t="s">
        <v>1955</v>
      </c>
      <c r="P365" t="s">
        <v>1934</v>
      </c>
      <c r="Q365">
        <v>1</v>
      </c>
      <c r="T365" t="s">
        <v>2113</v>
      </c>
      <c r="U365" t="s">
        <v>586</v>
      </c>
      <c r="W365" t="s">
        <v>2359</v>
      </c>
      <c r="X365">
        <v>1</v>
      </c>
      <c r="Z365" s="5" t="s">
        <v>2297</v>
      </c>
      <c r="AA365">
        <v>1</v>
      </c>
      <c r="AB365" s="5" t="s">
        <v>2297</v>
      </c>
      <c r="AD365">
        <v>1</v>
      </c>
      <c r="AE365" t="s">
        <v>2297</v>
      </c>
    </row>
    <row r="366" spans="1:32" hidden="1" x14ac:dyDescent="0.25">
      <c r="A366">
        <v>675</v>
      </c>
      <c r="C366" t="s">
        <v>1508</v>
      </c>
      <c r="D366" t="s">
        <v>19</v>
      </c>
      <c r="E366" t="s">
        <v>23</v>
      </c>
      <c r="F366">
        <v>1750.6669999999999</v>
      </c>
      <c r="G366">
        <v>1759.124</v>
      </c>
      <c r="H366" s="3" t="s">
        <v>1511</v>
      </c>
      <c r="I366" t="s">
        <v>1934</v>
      </c>
      <c r="L366" t="s">
        <v>1932</v>
      </c>
      <c r="M366" t="s">
        <v>1932</v>
      </c>
      <c r="N366" t="s">
        <v>1932</v>
      </c>
      <c r="O366" t="s">
        <v>1936</v>
      </c>
      <c r="P366" t="s">
        <v>1934</v>
      </c>
      <c r="Q366">
        <v>1</v>
      </c>
      <c r="T366" t="s">
        <v>2142</v>
      </c>
      <c r="U366" t="s">
        <v>1512</v>
      </c>
    </row>
    <row r="367" spans="1:32" hidden="1" x14ac:dyDescent="0.25">
      <c r="A367">
        <v>252</v>
      </c>
      <c r="B367" t="s">
        <v>2247</v>
      </c>
      <c r="C367" t="s">
        <v>521</v>
      </c>
      <c r="D367" t="s">
        <v>19</v>
      </c>
      <c r="E367" t="s">
        <v>593</v>
      </c>
      <c r="F367">
        <v>1876.819</v>
      </c>
      <c r="G367">
        <v>1889.9860000000001</v>
      </c>
      <c r="H367" s="3" t="s">
        <v>594</v>
      </c>
      <c r="I367" t="s">
        <v>1934</v>
      </c>
      <c r="K367">
        <v>253</v>
      </c>
      <c r="L367" t="s">
        <v>1932</v>
      </c>
      <c r="M367" t="s">
        <v>1932</v>
      </c>
      <c r="N367" t="s">
        <v>1932</v>
      </c>
      <c r="O367" t="s">
        <v>1936</v>
      </c>
      <c r="P367" t="s">
        <v>1934</v>
      </c>
      <c r="Q367">
        <v>1</v>
      </c>
      <c r="T367" t="s">
        <v>2152</v>
      </c>
      <c r="U367" t="s">
        <v>595</v>
      </c>
      <c r="W367" t="s">
        <v>2359</v>
      </c>
      <c r="X367">
        <v>2</v>
      </c>
      <c r="Y367" s="5" t="s">
        <v>2302</v>
      </c>
      <c r="Z367" t="s">
        <v>2353</v>
      </c>
      <c r="AA367">
        <v>1</v>
      </c>
      <c r="AC367" s="5"/>
      <c r="AD367">
        <v>1</v>
      </c>
    </row>
    <row r="368" spans="1:32" hidden="1" x14ac:dyDescent="0.25">
      <c r="A368">
        <v>679</v>
      </c>
      <c r="C368" t="s">
        <v>1508</v>
      </c>
      <c r="D368" t="s">
        <v>118</v>
      </c>
      <c r="E368" t="s">
        <v>20</v>
      </c>
      <c r="F368">
        <v>285.57499999999999</v>
      </c>
      <c r="G368">
        <v>296.44600000000003</v>
      </c>
      <c r="H368" s="3" t="s">
        <v>1519</v>
      </c>
      <c r="I368" t="s">
        <v>1934</v>
      </c>
      <c r="L368" t="s">
        <v>1932</v>
      </c>
      <c r="M368" t="s">
        <v>1932</v>
      </c>
      <c r="N368" t="s">
        <v>1932</v>
      </c>
      <c r="O368" t="s">
        <v>1936</v>
      </c>
      <c r="P368" t="s">
        <v>1937</v>
      </c>
      <c r="Q368">
        <v>1</v>
      </c>
      <c r="T368" t="s">
        <v>2000</v>
      </c>
      <c r="U368" t="s">
        <v>1520</v>
      </c>
      <c r="V368" t="s">
        <v>1521</v>
      </c>
    </row>
    <row r="369" spans="1:32" hidden="1" x14ac:dyDescent="0.25">
      <c r="A369">
        <v>319</v>
      </c>
      <c r="B369" t="s">
        <v>2261</v>
      </c>
      <c r="C369" t="s">
        <v>521</v>
      </c>
      <c r="D369" t="s">
        <v>118</v>
      </c>
      <c r="E369" t="s">
        <v>587</v>
      </c>
      <c r="F369">
        <v>2766.0729999999999</v>
      </c>
      <c r="G369">
        <v>2780.0859999999998</v>
      </c>
      <c r="H369" s="3" t="s">
        <v>768</v>
      </c>
      <c r="I369" t="s">
        <v>1934</v>
      </c>
      <c r="K369" t="s">
        <v>2187</v>
      </c>
      <c r="L369" t="s">
        <v>1932</v>
      </c>
      <c r="M369" t="s">
        <v>1932</v>
      </c>
      <c r="N369" t="s">
        <v>1932</v>
      </c>
      <c r="O369" t="s">
        <v>1936</v>
      </c>
      <c r="P369" t="s">
        <v>1932</v>
      </c>
      <c r="Q369">
        <v>2</v>
      </c>
      <c r="T369" t="s">
        <v>2235</v>
      </c>
      <c r="U369" t="s">
        <v>769</v>
      </c>
      <c r="W369" t="s">
        <v>2359</v>
      </c>
      <c r="X369">
        <v>2</v>
      </c>
      <c r="Y369" s="5" t="s">
        <v>2354</v>
      </c>
      <c r="Z369" t="s">
        <v>2354</v>
      </c>
      <c r="AA369">
        <v>1</v>
      </c>
      <c r="AC369" s="5"/>
      <c r="AD369">
        <v>2</v>
      </c>
      <c r="AE369" s="6" t="s">
        <v>2365</v>
      </c>
      <c r="AF369" t="s">
        <v>2354</v>
      </c>
    </row>
    <row r="370" spans="1:32" hidden="1" x14ac:dyDescent="0.25">
      <c r="A370">
        <v>684</v>
      </c>
      <c r="C370" t="s">
        <v>1508</v>
      </c>
      <c r="D370" t="s">
        <v>118</v>
      </c>
      <c r="E370" t="s">
        <v>35</v>
      </c>
      <c r="F370">
        <v>1710.943</v>
      </c>
      <c r="G370">
        <v>1723.66</v>
      </c>
      <c r="H370" s="3" t="s">
        <v>1530</v>
      </c>
      <c r="I370" t="s">
        <v>1934</v>
      </c>
      <c r="J370" t="s">
        <v>2075</v>
      </c>
      <c r="L370" t="s">
        <v>1932</v>
      </c>
      <c r="M370" t="s">
        <v>1932</v>
      </c>
      <c r="N370" t="s">
        <v>1932</v>
      </c>
      <c r="O370" t="s">
        <v>1936</v>
      </c>
      <c r="P370" t="s">
        <v>1934</v>
      </c>
      <c r="Q370">
        <v>1</v>
      </c>
      <c r="T370" t="s">
        <v>2140</v>
      </c>
      <c r="U370" t="s">
        <v>1531</v>
      </c>
    </row>
    <row r="371" spans="1:32" hidden="1" x14ac:dyDescent="0.25">
      <c r="A371">
        <v>685</v>
      </c>
      <c r="C371" t="s">
        <v>1508</v>
      </c>
      <c r="D371" t="s">
        <v>118</v>
      </c>
      <c r="E371" t="s">
        <v>38</v>
      </c>
      <c r="F371">
        <v>2074.3200000000002</v>
      </c>
      <c r="G371">
        <v>2084.7820000000002</v>
      </c>
      <c r="H371" s="3" t="s">
        <v>1532</v>
      </c>
      <c r="I371" t="s">
        <v>1934</v>
      </c>
      <c r="K371">
        <v>678</v>
      </c>
      <c r="L371" t="s">
        <v>1932</v>
      </c>
      <c r="M371" t="s">
        <v>1932</v>
      </c>
      <c r="N371" t="s">
        <v>1932</v>
      </c>
      <c r="O371" t="s">
        <v>1936</v>
      </c>
      <c r="P371" t="s">
        <v>1934</v>
      </c>
      <c r="Q371">
        <v>1</v>
      </c>
      <c r="R371" t="s">
        <v>2150</v>
      </c>
      <c r="T371" t="s">
        <v>2159</v>
      </c>
      <c r="U371" t="s">
        <v>1533</v>
      </c>
    </row>
    <row r="372" spans="1:32" hidden="1" x14ac:dyDescent="0.25">
      <c r="A372">
        <v>702</v>
      </c>
      <c r="C372" t="s">
        <v>1555</v>
      </c>
      <c r="D372" t="s">
        <v>19</v>
      </c>
      <c r="E372" t="s">
        <v>41</v>
      </c>
      <c r="F372">
        <v>474.33300000000003</v>
      </c>
      <c r="G372">
        <v>487.06599999999997</v>
      </c>
      <c r="H372" s="3" t="s">
        <v>1575</v>
      </c>
      <c r="I372" t="s">
        <v>1934</v>
      </c>
      <c r="L372" t="s">
        <v>1932</v>
      </c>
      <c r="M372" t="s">
        <v>1932</v>
      </c>
      <c r="N372" t="s">
        <v>1932</v>
      </c>
      <c r="O372" t="s">
        <v>1936</v>
      </c>
      <c r="P372" t="s">
        <v>1934</v>
      </c>
      <c r="Q372">
        <v>1</v>
      </c>
      <c r="T372" t="s">
        <v>2062</v>
      </c>
      <c r="U372" t="s">
        <v>1576</v>
      </c>
    </row>
    <row r="373" spans="1:32" hidden="1" x14ac:dyDescent="0.25">
      <c r="A373">
        <v>289</v>
      </c>
      <c r="B373" t="s">
        <v>2262</v>
      </c>
      <c r="C373" t="s">
        <v>521</v>
      </c>
      <c r="D373" t="s">
        <v>19</v>
      </c>
      <c r="E373" t="s">
        <v>704</v>
      </c>
      <c r="F373">
        <v>3226.181</v>
      </c>
      <c r="G373">
        <v>3237.6729999999998</v>
      </c>
      <c r="H373" s="3" t="s">
        <v>705</v>
      </c>
      <c r="I373" t="s">
        <v>1934</v>
      </c>
      <c r="L373" t="s">
        <v>1932</v>
      </c>
      <c r="M373" t="s">
        <v>1932</v>
      </c>
      <c r="N373" t="s">
        <v>1932</v>
      </c>
      <c r="O373" t="s">
        <v>1936</v>
      </c>
      <c r="P373" t="s">
        <v>1932</v>
      </c>
      <c r="Q373">
        <v>2</v>
      </c>
      <c r="T373" t="s">
        <v>2208</v>
      </c>
      <c r="U373" t="s">
        <v>706</v>
      </c>
      <c r="W373" t="s">
        <v>2359</v>
      </c>
      <c r="X373">
        <v>1</v>
      </c>
      <c r="Y373" s="5" t="s">
        <v>2302</v>
      </c>
      <c r="AA373">
        <v>1</v>
      </c>
      <c r="AC373" s="5" t="s">
        <v>2302</v>
      </c>
      <c r="AD373">
        <v>2</v>
      </c>
      <c r="AE373" t="s">
        <v>2324</v>
      </c>
    </row>
    <row r="374" spans="1:32" hidden="1" x14ac:dyDescent="0.25">
      <c r="A374">
        <v>191</v>
      </c>
      <c r="C374" t="s">
        <v>449</v>
      </c>
      <c r="D374" t="s">
        <v>47</v>
      </c>
      <c r="E374" t="s">
        <v>20</v>
      </c>
      <c r="F374">
        <v>1100.6569999999999</v>
      </c>
      <c r="G374">
        <v>1109.2809999999999</v>
      </c>
      <c r="H374" s="3" t="s">
        <v>456</v>
      </c>
      <c r="I374" t="s">
        <v>1934</v>
      </c>
      <c r="L374" t="s">
        <v>1932</v>
      </c>
      <c r="M374" t="s">
        <v>1932</v>
      </c>
      <c r="N374" t="s">
        <v>1932</v>
      </c>
      <c r="O374" t="s">
        <v>1936</v>
      </c>
      <c r="P374" t="s">
        <v>1934</v>
      </c>
      <c r="Q374">
        <v>1</v>
      </c>
      <c r="T374" t="s">
        <v>2108</v>
      </c>
      <c r="U374" t="s">
        <v>457</v>
      </c>
    </row>
    <row r="375" spans="1:32" hidden="1" x14ac:dyDescent="0.25">
      <c r="A375">
        <v>192</v>
      </c>
      <c r="C375" t="s">
        <v>449</v>
      </c>
      <c r="D375" t="s">
        <v>47</v>
      </c>
      <c r="E375" t="s">
        <v>23</v>
      </c>
      <c r="F375">
        <v>2035.615</v>
      </c>
      <c r="G375">
        <v>2044.3879999999999</v>
      </c>
      <c r="H375" s="3" t="s">
        <v>458</v>
      </c>
      <c r="I375" t="s">
        <v>1934</v>
      </c>
      <c r="L375" t="s">
        <v>1932</v>
      </c>
      <c r="M375" t="s">
        <v>1932</v>
      </c>
      <c r="N375" t="s">
        <v>1932</v>
      </c>
      <c r="O375" t="s">
        <v>1942</v>
      </c>
      <c r="P375" t="s">
        <v>1934</v>
      </c>
      <c r="Q375">
        <v>1</v>
      </c>
      <c r="T375" t="s">
        <v>2109</v>
      </c>
      <c r="U375" t="s">
        <v>459</v>
      </c>
    </row>
    <row r="376" spans="1:32" hidden="1" x14ac:dyDescent="0.25">
      <c r="A376">
        <v>367</v>
      </c>
      <c r="B376" t="s">
        <v>2263</v>
      </c>
      <c r="C376" t="s">
        <v>825</v>
      </c>
      <c r="D376" t="s">
        <v>19</v>
      </c>
      <c r="E376" t="s">
        <v>112</v>
      </c>
      <c r="F376">
        <v>1737.029</v>
      </c>
      <c r="G376">
        <v>1747.664</v>
      </c>
      <c r="H376" s="3" t="s">
        <v>865</v>
      </c>
      <c r="I376" t="s">
        <v>1934</v>
      </c>
      <c r="L376" t="s">
        <v>1932</v>
      </c>
      <c r="M376" t="s">
        <v>1932</v>
      </c>
      <c r="N376" t="s">
        <v>1932</v>
      </c>
      <c r="O376" t="s">
        <v>1955</v>
      </c>
      <c r="P376" t="s">
        <v>1932</v>
      </c>
      <c r="Q376">
        <v>2</v>
      </c>
      <c r="T376" t="s">
        <v>2141</v>
      </c>
      <c r="U376" t="s">
        <v>866</v>
      </c>
      <c r="W376" t="s">
        <v>2359</v>
      </c>
      <c r="X376">
        <v>1</v>
      </c>
      <c r="Y376" s="5"/>
      <c r="AA376">
        <v>1</v>
      </c>
      <c r="AC376" s="5"/>
      <c r="AD376">
        <v>1</v>
      </c>
    </row>
    <row r="377" spans="1:32" hidden="1" x14ac:dyDescent="0.25">
      <c r="A377">
        <v>202</v>
      </c>
      <c r="C377" t="s">
        <v>466</v>
      </c>
      <c r="D377" t="s">
        <v>19</v>
      </c>
      <c r="E377" t="s">
        <v>38</v>
      </c>
      <c r="F377">
        <v>2178.1109999999999</v>
      </c>
      <c r="G377">
        <v>2188.5680000000002</v>
      </c>
      <c r="H377" s="3" t="s">
        <v>479</v>
      </c>
      <c r="I377" t="s">
        <v>1934</v>
      </c>
      <c r="L377" t="s">
        <v>1935</v>
      </c>
      <c r="M377" t="s">
        <v>1932</v>
      </c>
      <c r="N377" t="s">
        <v>1932</v>
      </c>
      <c r="O377" t="s">
        <v>1936</v>
      </c>
      <c r="P377" t="s">
        <v>1934</v>
      </c>
      <c r="Q377">
        <v>1</v>
      </c>
      <c r="T377" t="s">
        <v>2111</v>
      </c>
      <c r="U377" t="s">
        <v>480</v>
      </c>
    </row>
    <row r="378" spans="1:32" hidden="1" x14ac:dyDescent="0.25">
      <c r="A378">
        <v>210</v>
      </c>
      <c r="C378" t="s">
        <v>466</v>
      </c>
      <c r="D378" t="s">
        <v>47</v>
      </c>
      <c r="E378" t="s">
        <v>26</v>
      </c>
      <c r="F378">
        <v>310.976</v>
      </c>
      <c r="G378">
        <v>320.13799999999998</v>
      </c>
      <c r="H378" s="3" t="s">
        <v>497</v>
      </c>
      <c r="I378" t="s">
        <v>1934</v>
      </c>
      <c r="L378" t="s">
        <v>1932</v>
      </c>
      <c r="M378" t="s">
        <v>1932</v>
      </c>
      <c r="N378" t="s">
        <v>1932</v>
      </c>
      <c r="O378" t="s">
        <v>1942</v>
      </c>
      <c r="P378" t="s">
        <v>1934</v>
      </c>
      <c r="Q378">
        <v>1</v>
      </c>
      <c r="T378" t="s">
        <v>2050</v>
      </c>
      <c r="U378" t="s">
        <v>498</v>
      </c>
    </row>
    <row r="379" spans="1:32" hidden="1" x14ac:dyDescent="0.25">
      <c r="A379">
        <v>226</v>
      </c>
      <c r="C379" t="s">
        <v>521</v>
      </c>
      <c r="D379" t="s">
        <v>19</v>
      </c>
      <c r="E379" t="s">
        <v>32</v>
      </c>
      <c r="F379">
        <v>179.82300000000001</v>
      </c>
      <c r="G379">
        <v>190.732</v>
      </c>
      <c r="H379" s="3" t="s">
        <v>534</v>
      </c>
      <c r="I379" t="s">
        <v>1934</v>
      </c>
      <c r="K379">
        <v>296</v>
      </c>
      <c r="L379" t="s">
        <v>1965</v>
      </c>
      <c r="M379" t="s">
        <v>1934</v>
      </c>
      <c r="N379">
        <v>2</v>
      </c>
      <c r="O379" t="s">
        <v>1942</v>
      </c>
      <c r="P379" t="s">
        <v>1937</v>
      </c>
      <c r="Q379">
        <v>3</v>
      </c>
      <c r="T379" t="s">
        <v>1989</v>
      </c>
      <c r="U379" t="s">
        <v>535</v>
      </c>
      <c r="V379" t="s">
        <v>536</v>
      </c>
    </row>
    <row r="380" spans="1:32" hidden="1" x14ac:dyDescent="0.25">
      <c r="A380">
        <v>229</v>
      </c>
      <c r="C380" t="s">
        <v>521</v>
      </c>
      <c r="D380" t="s">
        <v>19</v>
      </c>
      <c r="E380" t="s">
        <v>41</v>
      </c>
      <c r="F380">
        <v>451.28</v>
      </c>
      <c r="G380">
        <v>464.70699999999999</v>
      </c>
      <c r="H380" s="3" t="s">
        <v>543</v>
      </c>
      <c r="I380" t="s">
        <v>1934</v>
      </c>
      <c r="L380" t="s">
        <v>1932</v>
      </c>
      <c r="M380" t="s">
        <v>1932</v>
      </c>
      <c r="N380" t="s">
        <v>1932</v>
      </c>
      <c r="O380" t="s">
        <v>1936</v>
      </c>
      <c r="P380" t="s">
        <v>1934</v>
      </c>
      <c r="Q380">
        <v>1</v>
      </c>
      <c r="T380" t="s">
        <v>2057</v>
      </c>
      <c r="U380" t="s">
        <v>544</v>
      </c>
    </row>
    <row r="381" spans="1:32" hidden="1" x14ac:dyDescent="0.25">
      <c r="A381">
        <v>354</v>
      </c>
      <c r="B381" t="s">
        <v>2264</v>
      </c>
      <c r="C381" t="s">
        <v>825</v>
      </c>
      <c r="D381" t="s">
        <v>19</v>
      </c>
      <c r="E381" t="s">
        <v>35</v>
      </c>
      <c r="F381">
        <v>631.22699999999998</v>
      </c>
      <c r="G381">
        <v>644.25199999999995</v>
      </c>
      <c r="H381" s="3" t="s">
        <v>839</v>
      </c>
      <c r="I381" t="s">
        <v>1934</v>
      </c>
      <c r="L381" t="s">
        <v>1932</v>
      </c>
      <c r="M381" t="s">
        <v>1932</v>
      </c>
      <c r="N381" t="s">
        <v>1932</v>
      </c>
      <c r="O381" t="s">
        <v>1936</v>
      </c>
      <c r="P381" t="s">
        <v>1932</v>
      </c>
      <c r="Q381">
        <v>2</v>
      </c>
      <c r="T381" t="s">
        <v>2073</v>
      </c>
      <c r="U381" t="s">
        <v>840</v>
      </c>
      <c r="W381" t="s">
        <v>2366</v>
      </c>
      <c r="X381">
        <v>1</v>
      </c>
      <c r="Z381" s="5"/>
      <c r="AA381">
        <v>1</v>
      </c>
      <c r="AC381" s="5"/>
      <c r="AD381">
        <v>1</v>
      </c>
    </row>
    <row r="382" spans="1:32" hidden="1" x14ac:dyDescent="0.25">
      <c r="A382">
        <v>473</v>
      </c>
      <c r="B382" s="6" t="s">
        <v>2368</v>
      </c>
      <c r="C382" t="s">
        <v>1076</v>
      </c>
      <c r="D382" t="s">
        <v>19</v>
      </c>
      <c r="E382" t="s">
        <v>20</v>
      </c>
      <c r="F382">
        <v>465.51900000000001</v>
      </c>
      <c r="G382">
        <v>478.26499999999999</v>
      </c>
      <c r="H382" s="3" t="s">
        <v>1077</v>
      </c>
      <c r="I382" t="s">
        <v>1934</v>
      </c>
      <c r="L382" t="s">
        <v>1932</v>
      </c>
      <c r="M382" t="s">
        <v>1932</v>
      </c>
      <c r="N382" t="s">
        <v>1932</v>
      </c>
      <c r="O382" t="s">
        <v>1955</v>
      </c>
      <c r="P382" t="s">
        <v>1934</v>
      </c>
      <c r="Q382">
        <v>1</v>
      </c>
      <c r="T382" t="s">
        <v>2061</v>
      </c>
      <c r="U382" t="s">
        <v>1078</v>
      </c>
      <c r="W382" t="s">
        <v>2367</v>
      </c>
      <c r="X382">
        <v>1</v>
      </c>
      <c r="Z382" s="5" t="s">
        <v>2325</v>
      </c>
      <c r="AA382">
        <v>1</v>
      </c>
      <c r="AC382" s="5"/>
      <c r="AD382">
        <v>2</v>
      </c>
      <c r="AE382" t="s">
        <v>2324</v>
      </c>
    </row>
    <row r="383" spans="1:32" hidden="1" x14ac:dyDescent="0.25">
      <c r="A383">
        <v>274</v>
      </c>
      <c r="C383" t="s">
        <v>521</v>
      </c>
      <c r="D383" t="s">
        <v>19</v>
      </c>
      <c r="E383" t="s">
        <v>659</v>
      </c>
      <c r="F383">
        <v>2693.8470000000002</v>
      </c>
      <c r="G383">
        <v>2703.9749999999999</v>
      </c>
      <c r="H383" s="3" t="s">
        <v>660</v>
      </c>
      <c r="I383" t="s">
        <v>1934</v>
      </c>
      <c r="L383" t="s">
        <v>1935</v>
      </c>
      <c r="M383" t="s">
        <v>1932</v>
      </c>
      <c r="N383" t="s">
        <v>1932</v>
      </c>
      <c r="O383" t="s">
        <v>1955</v>
      </c>
      <c r="P383" t="s">
        <v>1934</v>
      </c>
      <c r="Q383">
        <v>1</v>
      </c>
      <c r="T383" t="s">
        <v>2185</v>
      </c>
      <c r="U383" t="s">
        <v>661</v>
      </c>
    </row>
    <row r="384" spans="1:32" hidden="1" x14ac:dyDescent="0.25">
      <c r="A384">
        <v>286</v>
      </c>
      <c r="C384" t="s">
        <v>521</v>
      </c>
      <c r="D384" t="s">
        <v>19</v>
      </c>
      <c r="E384" t="s">
        <v>695</v>
      </c>
      <c r="F384">
        <v>3198.9140000000002</v>
      </c>
      <c r="G384">
        <v>3210.3029999999999</v>
      </c>
      <c r="H384" s="3" t="s">
        <v>696</v>
      </c>
      <c r="I384" t="s">
        <v>1934</v>
      </c>
      <c r="K384">
        <v>329</v>
      </c>
      <c r="L384" t="s">
        <v>1932</v>
      </c>
      <c r="M384" t="s">
        <v>1932</v>
      </c>
      <c r="N384" t="s">
        <v>1932</v>
      </c>
      <c r="O384" t="s">
        <v>1936</v>
      </c>
      <c r="P384" t="s">
        <v>1934</v>
      </c>
      <c r="Q384">
        <v>1</v>
      </c>
      <c r="T384" t="s">
        <v>2202</v>
      </c>
      <c r="U384" t="s">
        <v>697</v>
      </c>
    </row>
    <row r="385" spans="1:31" hidden="1" x14ac:dyDescent="0.25">
      <c r="A385">
        <v>475</v>
      </c>
      <c r="B385" t="s">
        <v>2248</v>
      </c>
      <c r="C385" t="s">
        <v>1076</v>
      </c>
      <c r="D385" t="s">
        <v>19</v>
      </c>
      <c r="E385" t="s">
        <v>26</v>
      </c>
      <c r="F385">
        <v>570.78200000000004</v>
      </c>
      <c r="G385">
        <v>584.74800000000005</v>
      </c>
      <c r="H385" s="3" t="s">
        <v>1081</v>
      </c>
      <c r="I385" t="s">
        <v>1934</v>
      </c>
      <c r="L385" t="s">
        <v>1932</v>
      </c>
      <c r="M385" t="s">
        <v>1932</v>
      </c>
      <c r="N385" t="s">
        <v>1932</v>
      </c>
      <c r="O385" t="s">
        <v>1936</v>
      </c>
      <c r="P385" t="s">
        <v>1934</v>
      </c>
      <c r="Q385">
        <v>1</v>
      </c>
      <c r="T385" t="s">
        <v>2070</v>
      </c>
      <c r="U385" t="s">
        <v>1082</v>
      </c>
      <c r="W385" t="s">
        <v>1934</v>
      </c>
      <c r="X385">
        <v>1</v>
      </c>
      <c r="Z385" s="5"/>
      <c r="AA385">
        <v>1</v>
      </c>
      <c r="AC385" s="5"/>
      <c r="AD385">
        <v>1</v>
      </c>
    </row>
    <row r="386" spans="1:31" hidden="1" x14ac:dyDescent="0.25">
      <c r="A386">
        <v>293</v>
      </c>
      <c r="C386" t="s">
        <v>521</v>
      </c>
      <c r="D386" t="s">
        <v>118</v>
      </c>
      <c r="E386" t="s">
        <v>26</v>
      </c>
      <c r="F386">
        <v>93.16</v>
      </c>
      <c r="G386">
        <v>105.90300000000001</v>
      </c>
      <c r="H386" s="3" t="s">
        <v>714</v>
      </c>
      <c r="I386" t="s">
        <v>1934</v>
      </c>
      <c r="L386" t="s">
        <v>1932</v>
      </c>
      <c r="M386" t="s">
        <v>1934</v>
      </c>
      <c r="N386" t="s">
        <v>1932</v>
      </c>
      <c r="O386" t="s">
        <v>1936</v>
      </c>
      <c r="P386" t="s">
        <v>1932</v>
      </c>
      <c r="Q386">
        <v>2</v>
      </c>
      <c r="T386" t="s">
        <v>1979</v>
      </c>
      <c r="U386" t="s">
        <v>715</v>
      </c>
      <c r="V386" t="s">
        <v>716</v>
      </c>
    </row>
    <row r="387" spans="1:31" hidden="1" x14ac:dyDescent="0.25">
      <c r="A387">
        <v>300</v>
      </c>
      <c r="C387" t="s">
        <v>521</v>
      </c>
      <c r="D387" t="s">
        <v>118</v>
      </c>
      <c r="E387" t="s">
        <v>85</v>
      </c>
      <c r="F387">
        <v>460.53300000000002</v>
      </c>
      <c r="G387">
        <v>475.27199999999999</v>
      </c>
      <c r="H387" s="3" t="s">
        <v>732</v>
      </c>
      <c r="I387" t="s">
        <v>1934</v>
      </c>
      <c r="L387" t="s">
        <v>1932</v>
      </c>
      <c r="M387" t="s">
        <v>1932</v>
      </c>
      <c r="N387" t="s">
        <v>1932</v>
      </c>
      <c r="O387" t="s">
        <v>1936</v>
      </c>
      <c r="P387" t="s">
        <v>1934</v>
      </c>
      <c r="Q387">
        <v>1</v>
      </c>
      <c r="T387" t="s">
        <v>2060</v>
      </c>
      <c r="U387" t="s">
        <v>733</v>
      </c>
    </row>
    <row r="388" spans="1:31" hidden="1" x14ac:dyDescent="0.25">
      <c r="A388">
        <v>309</v>
      </c>
      <c r="C388" t="s">
        <v>521</v>
      </c>
      <c r="D388" t="s">
        <v>118</v>
      </c>
      <c r="E388" t="s">
        <v>112</v>
      </c>
      <c r="F388">
        <v>1840.502</v>
      </c>
      <c r="G388">
        <v>1851.701</v>
      </c>
      <c r="H388" s="3" t="s">
        <v>749</v>
      </c>
      <c r="I388" t="s">
        <v>1934</v>
      </c>
      <c r="L388" t="s">
        <v>1932</v>
      </c>
      <c r="M388" t="s">
        <v>1932</v>
      </c>
      <c r="N388" t="s">
        <v>1932</v>
      </c>
      <c r="O388" t="s">
        <v>1936</v>
      </c>
      <c r="P388" t="s">
        <v>1934</v>
      </c>
      <c r="Q388">
        <v>1</v>
      </c>
      <c r="T388" t="s">
        <v>2151</v>
      </c>
      <c r="U388" t="s">
        <v>750</v>
      </c>
    </row>
    <row r="389" spans="1:31" hidden="1" x14ac:dyDescent="0.25">
      <c r="A389">
        <v>317</v>
      </c>
      <c r="C389" t="s">
        <v>521</v>
      </c>
      <c r="D389" t="s">
        <v>118</v>
      </c>
      <c r="E389" t="s">
        <v>581</v>
      </c>
      <c r="F389">
        <v>2420.1</v>
      </c>
      <c r="G389">
        <v>2430.904</v>
      </c>
      <c r="H389" s="3" t="s">
        <v>765</v>
      </c>
      <c r="I389" t="s">
        <v>1934</v>
      </c>
      <c r="L389" t="s">
        <v>1932</v>
      </c>
      <c r="M389" t="s">
        <v>1932</v>
      </c>
      <c r="N389" t="s">
        <v>1932</v>
      </c>
      <c r="O389" t="s">
        <v>1942</v>
      </c>
      <c r="P389" t="s">
        <v>1934</v>
      </c>
      <c r="Q389">
        <v>1</v>
      </c>
      <c r="T389" t="s">
        <v>2173</v>
      </c>
      <c r="U389" t="s">
        <v>766</v>
      </c>
    </row>
    <row r="390" spans="1:31" hidden="1" x14ac:dyDescent="0.25">
      <c r="A390">
        <v>488</v>
      </c>
      <c r="B390" t="s">
        <v>2249</v>
      </c>
      <c r="C390" t="s">
        <v>1105</v>
      </c>
      <c r="D390" t="s">
        <v>19</v>
      </c>
      <c r="E390" t="s">
        <v>20</v>
      </c>
      <c r="F390">
        <v>185.12799999999999</v>
      </c>
      <c r="G390">
        <v>193.51300000000001</v>
      </c>
      <c r="H390" s="3" t="s">
        <v>1106</v>
      </c>
      <c r="I390" t="s">
        <v>1934</v>
      </c>
      <c r="L390" t="s">
        <v>1932</v>
      </c>
      <c r="M390" t="s">
        <v>1932</v>
      </c>
      <c r="N390" t="s">
        <v>1932</v>
      </c>
      <c r="O390" t="s">
        <v>1936</v>
      </c>
      <c r="P390" t="s">
        <v>1934</v>
      </c>
      <c r="Q390">
        <v>1</v>
      </c>
      <c r="T390" t="s">
        <v>1990</v>
      </c>
      <c r="U390" t="s">
        <v>1107</v>
      </c>
      <c r="V390" t="s">
        <v>1108</v>
      </c>
      <c r="W390" t="s">
        <v>1934</v>
      </c>
      <c r="X390">
        <v>1</v>
      </c>
      <c r="Z390" s="5"/>
      <c r="AA390">
        <v>1</v>
      </c>
      <c r="AC390" s="5"/>
      <c r="AD390">
        <v>1</v>
      </c>
    </row>
    <row r="391" spans="1:31" hidden="1" x14ac:dyDescent="0.25">
      <c r="A391">
        <v>321</v>
      </c>
      <c r="C391" t="s">
        <v>521</v>
      </c>
      <c r="D391" t="s">
        <v>118</v>
      </c>
      <c r="E391" t="s">
        <v>593</v>
      </c>
      <c r="F391">
        <v>2794.5279999999998</v>
      </c>
      <c r="G391">
        <v>2803.8910000000001</v>
      </c>
      <c r="H391" s="3" t="s">
        <v>772</v>
      </c>
      <c r="I391" t="s">
        <v>1934</v>
      </c>
      <c r="J391" t="s">
        <v>2192</v>
      </c>
      <c r="L391" t="s">
        <v>1932</v>
      </c>
      <c r="M391" t="s">
        <v>1932</v>
      </c>
      <c r="N391" t="s">
        <v>1932</v>
      </c>
      <c r="O391" t="s">
        <v>1936</v>
      </c>
      <c r="P391" t="s">
        <v>1934</v>
      </c>
      <c r="Q391">
        <v>1</v>
      </c>
      <c r="T391" t="s">
        <v>2191</v>
      </c>
      <c r="U391" t="s">
        <v>773</v>
      </c>
    </row>
    <row r="392" spans="1:31" hidden="1" x14ac:dyDescent="0.25">
      <c r="A392">
        <v>326</v>
      </c>
      <c r="C392" t="s">
        <v>521</v>
      </c>
      <c r="D392" t="s">
        <v>118</v>
      </c>
      <c r="E392" t="s">
        <v>608</v>
      </c>
      <c r="F392">
        <v>2872.8110000000001</v>
      </c>
      <c r="G392">
        <v>2886.3809999999999</v>
      </c>
      <c r="H392" s="3" t="s">
        <v>782</v>
      </c>
      <c r="I392" t="s">
        <v>1934</v>
      </c>
      <c r="L392" t="s">
        <v>1932</v>
      </c>
      <c r="M392" t="s">
        <v>1932</v>
      </c>
      <c r="N392" t="s">
        <v>1932</v>
      </c>
      <c r="O392" t="s">
        <v>1936</v>
      </c>
      <c r="P392" t="s">
        <v>1934</v>
      </c>
      <c r="Q392">
        <v>1</v>
      </c>
      <c r="T392" t="s">
        <v>2195</v>
      </c>
      <c r="U392" t="s">
        <v>783</v>
      </c>
    </row>
    <row r="393" spans="1:31" hidden="1" x14ac:dyDescent="0.25">
      <c r="A393">
        <v>497</v>
      </c>
      <c r="B393" t="s">
        <v>2265</v>
      </c>
      <c r="C393" t="s">
        <v>1105</v>
      </c>
      <c r="D393" t="s">
        <v>47</v>
      </c>
      <c r="E393" t="s">
        <v>20</v>
      </c>
      <c r="F393">
        <v>231.97300000000001</v>
      </c>
      <c r="G393">
        <v>242.68799999999999</v>
      </c>
      <c r="H393" s="3" t="s">
        <v>1125</v>
      </c>
      <c r="I393" t="s">
        <v>1934</v>
      </c>
      <c r="L393" t="s">
        <v>1932</v>
      </c>
      <c r="M393" t="s">
        <v>1934</v>
      </c>
      <c r="N393" t="s">
        <v>1932</v>
      </c>
      <c r="O393" t="s">
        <v>1936</v>
      </c>
      <c r="P393" t="s">
        <v>1937</v>
      </c>
      <c r="Q393">
        <v>2</v>
      </c>
      <c r="T393" t="s">
        <v>1995</v>
      </c>
      <c r="U393" t="s">
        <v>1126</v>
      </c>
      <c r="V393" t="s">
        <v>1127</v>
      </c>
      <c r="W393" t="s">
        <v>1934</v>
      </c>
      <c r="X393">
        <v>1</v>
      </c>
      <c r="Z393" s="5"/>
      <c r="AA393">
        <v>1</v>
      </c>
      <c r="AC393" s="5"/>
      <c r="AD393">
        <v>2</v>
      </c>
      <c r="AE393" t="s">
        <v>2345</v>
      </c>
    </row>
    <row r="394" spans="1:31" hidden="1" x14ac:dyDescent="0.25">
      <c r="A394">
        <v>420</v>
      </c>
      <c r="C394" t="s">
        <v>900</v>
      </c>
      <c r="D394" t="s">
        <v>47</v>
      </c>
      <c r="E394" t="s">
        <v>20</v>
      </c>
      <c r="F394">
        <v>132.654</v>
      </c>
      <c r="G394">
        <v>142.679</v>
      </c>
      <c r="H394" s="3" t="s">
        <v>971</v>
      </c>
      <c r="I394" t="s">
        <v>1934</v>
      </c>
      <c r="K394">
        <v>421</v>
      </c>
      <c r="L394" t="s">
        <v>1932</v>
      </c>
      <c r="M394" t="s">
        <v>1932</v>
      </c>
      <c r="N394" t="s">
        <v>1932</v>
      </c>
      <c r="O394" t="s">
        <v>1936</v>
      </c>
      <c r="P394" t="s">
        <v>1937</v>
      </c>
      <c r="R394" t="s">
        <v>1970</v>
      </c>
      <c r="T394" t="s">
        <v>1984</v>
      </c>
      <c r="U394" t="s">
        <v>972</v>
      </c>
    </row>
    <row r="395" spans="1:31" hidden="1" x14ac:dyDescent="0.25">
      <c r="A395">
        <v>421</v>
      </c>
      <c r="C395" t="s">
        <v>900</v>
      </c>
      <c r="D395" t="s">
        <v>47</v>
      </c>
      <c r="E395" t="s">
        <v>23</v>
      </c>
      <c r="F395">
        <v>135.26</v>
      </c>
      <c r="G395">
        <v>144.935</v>
      </c>
      <c r="H395" s="3" t="s">
        <v>973</v>
      </c>
      <c r="I395" t="s">
        <v>1934</v>
      </c>
      <c r="K395">
        <v>420</v>
      </c>
      <c r="L395" t="s">
        <v>1932</v>
      </c>
      <c r="M395" t="s">
        <v>1932</v>
      </c>
      <c r="N395" t="s">
        <v>1932</v>
      </c>
      <c r="O395" t="s">
        <v>1936</v>
      </c>
      <c r="P395" t="s">
        <v>1934</v>
      </c>
      <c r="Q395">
        <v>1</v>
      </c>
      <c r="T395" t="s">
        <v>1985</v>
      </c>
      <c r="U395" t="s">
        <v>974</v>
      </c>
    </row>
    <row r="396" spans="1:31" hidden="1" x14ac:dyDescent="0.25">
      <c r="A396">
        <v>426</v>
      </c>
      <c r="C396" t="s">
        <v>900</v>
      </c>
      <c r="D396" t="s">
        <v>47</v>
      </c>
      <c r="E396" t="s">
        <v>38</v>
      </c>
      <c r="F396">
        <v>527.70600000000002</v>
      </c>
      <c r="G396">
        <v>538.303</v>
      </c>
      <c r="H396" s="3" t="s">
        <v>983</v>
      </c>
      <c r="I396" t="s">
        <v>1934</v>
      </c>
      <c r="T396" t="s">
        <v>2065</v>
      </c>
      <c r="U396" t="s">
        <v>984</v>
      </c>
    </row>
    <row r="397" spans="1:31" hidden="1" x14ac:dyDescent="0.25">
      <c r="A397">
        <v>434</v>
      </c>
      <c r="C397" t="s">
        <v>900</v>
      </c>
      <c r="D397" t="s">
        <v>47</v>
      </c>
      <c r="E397" t="s">
        <v>100</v>
      </c>
      <c r="F397">
        <v>1379.086</v>
      </c>
      <c r="G397">
        <v>1389.067</v>
      </c>
      <c r="H397" s="3" t="s">
        <v>999</v>
      </c>
      <c r="I397" t="s">
        <v>1934</v>
      </c>
      <c r="L397" t="s">
        <v>1932</v>
      </c>
      <c r="M397" t="s">
        <v>1932</v>
      </c>
      <c r="N397" t="s">
        <v>1932</v>
      </c>
      <c r="O397" t="s">
        <v>1936</v>
      </c>
      <c r="P397" t="s">
        <v>1934</v>
      </c>
      <c r="Q397">
        <v>1</v>
      </c>
      <c r="T397" t="s">
        <v>2128</v>
      </c>
      <c r="U397" t="s">
        <v>1000</v>
      </c>
    </row>
    <row r="398" spans="1:31" hidden="1" x14ac:dyDescent="0.25">
      <c r="A398">
        <v>439</v>
      </c>
      <c r="C398" t="s">
        <v>900</v>
      </c>
      <c r="D398" t="s">
        <v>47</v>
      </c>
      <c r="E398" t="s">
        <v>115</v>
      </c>
      <c r="F398">
        <v>1661.5340000000001</v>
      </c>
      <c r="G398">
        <v>1673.1579999999999</v>
      </c>
      <c r="H398" s="3" t="s">
        <v>1008</v>
      </c>
      <c r="I398" t="s">
        <v>1934</v>
      </c>
      <c r="L398" t="s">
        <v>1932</v>
      </c>
      <c r="M398" t="s">
        <v>1932</v>
      </c>
      <c r="N398" t="s">
        <v>1932</v>
      </c>
      <c r="O398" t="s">
        <v>1936</v>
      </c>
      <c r="P398" t="s">
        <v>1934</v>
      </c>
      <c r="Q398">
        <v>1</v>
      </c>
      <c r="T398" t="s">
        <v>2138</v>
      </c>
      <c r="U398" t="s">
        <v>1009</v>
      </c>
    </row>
    <row r="399" spans="1:31" hidden="1" x14ac:dyDescent="0.25">
      <c r="A399">
        <v>440</v>
      </c>
      <c r="C399" t="s">
        <v>900</v>
      </c>
      <c r="D399" t="s">
        <v>47</v>
      </c>
      <c r="E399" t="s">
        <v>178</v>
      </c>
      <c r="F399">
        <v>1681.7919999999999</v>
      </c>
      <c r="G399">
        <v>1692.31</v>
      </c>
      <c r="H399" s="3" t="s">
        <v>1010</v>
      </c>
      <c r="I399" t="s">
        <v>1934</v>
      </c>
      <c r="L399" t="s">
        <v>1932</v>
      </c>
      <c r="M399" t="s">
        <v>1932</v>
      </c>
      <c r="N399" t="s">
        <v>1932</v>
      </c>
      <c r="O399" t="s">
        <v>1936</v>
      </c>
      <c r="P399" t="s">
        <v>1934</v>
      </c>
      <c r="Q399">
        <v>1</v>
      </c>
      <c r="T399" t="s">
        <v>2139</v>
      </c>
      <c r="U399" t="s">
        <v>1011</v>
      </c>
    </row>
    <row r="400" spans="1:31" hidden="1" x14ac:dyDescent="0.25">
      <c r="A400">
        <v>442</v>
      </c>
      <c r="C400" t="s">
        <v>900</v>
      </c>
      <c r="D400" t="s">
        <v>47</v>
      </c>
      <c r="E400" t="s">
        <v>184</v>
      </c>
      <c r="F400">
        <v>2022.6</v>
      </c>
      <c r="G400">
        <v>2031.2819999999999</v>
      </c>
      <c r="H400" s="3" t="s">
        <v>1014</v>
      </c>
      <c r="I400" t="s">
        <v>1934</v>
      </c>
      <c r="J400" t="s">
        <v>2158</v>
      </c>
      <c r="T400" t="s">
        <v>2157</v>
      </c>
      <c r="U400" t="s">
        <v>1015</v>
      </c>
    </row>
    <row r="401" spans="1:32" hidden="1" x14ac:dyDescent="0.25">
      <c r="A401">
        <v>499</v>
      </c>
      <c r="B401" t="s">
        <v>2250</v>
      </c>
      <c r="C401" t="s">
        <v>1105</v>
      </c>
      <c r="D401" t="s">
        <v>47</v>
      </c>
      <c r="E401" t="s">
        <v>26</v>
      </c>
      <c r="F401">
        <v>2448</v>
      </c>
      <c r="G401">
        <v>2458.241</v>
      </c>
      <c r="H401" s="3" t="s">
        <v>1130</v>
      </c>
      <c r="I401" t="s">
        <v>1934</v>
      </c>
      <c r="L401" t="s">
        <v>1932</v>
      </c>
      <c r="M401" t="s">
        <v>1932</v>
      </c>
      <c r="N401" t="s">
        <v>1932</v>
      </c>
      <c r="O401" t="s">
        <v>1942</v>
      </c>
      <c r="P401" t="s">
        <v>1934</v>
      </c>
      <c r="Q401">
        <v>1</v>
      </c>
      <c r="T401" t="s">
        <v>2175</v>
      </c>
      <c r="U401" t="s">
        <v>1131</v>
      </c>
      <c r="W401" t="s">
        <v>2359</v>
      </c>
      <c r="X401">
        <v>1</v>
      </c>
      <c r="Y401" s="5" t="s">
        <v>2302</v>
      </c>
      <c r="AA401">
        <v>1</v>
      </c>
      <c r="AC401" s="5" t="s">
        <v>2302</v>
      </c>
      <c r="AD401">
        <v>1</v>
      </c>
    </row>
    <row r="402" spans="1:32" hidden="1" x14ac:dyDescent="0.25">
      <c r="A402">
        <v>353</v>
      </c>
      <c r="C402" t="s">
        <v>825</v>
      </c>
      <c r="D402" t="s">
        <v>19</v>
      </c>
      <c r="E402" t="s">
        <v>32</v>
      </c>
      <c r="F402">
        <v>570.53800000000001</v>
      </c>
      <c r="G402">
        <v>582.18399999999997</v>
      </c>
      <c r="H402" s="3" t="s">
        <v>837</v>
      </c>
      <c r="I402" t="s">
        <v>1934</v>
      </c>
      <c r="L402" t="s">
        <v>1932</v>
      </c>
      <c r="M402" t="s">
        <v>1932</v>
      </c>
      <c r="N402" t="s">
        <v>1932</v>
      </c>
      <c r="O402" t="s">
        <v>1936</v>
      </c>
      <c r="P402" t="s">
        <v>1932</v>
      </c>
      <c r="Q402">
        <v>2</v>
      </c>
      <c r="T402" t="s">
        <v>2069</v>
      </c>
      <c r="U402" t="s">
        <v>838</v>
      </c>
    </row>
    <row r="403" spans="1:32" hidden="1" x14ac:dyDescent="0.25">
      <c r="A403">
        <v>119</v>
      </c>
      <c r="B403" t="s">
        <v>2259</v>
      </c>
      <c r="C403" t="s">
        <v>281</v>
      </c>
      <c r="D403" t="s">
        <v>118</v>
      </c>
      <c r="E403" t="s">
        <v>38</v>
      </c>
      <c r="F403">
        <v>2070.6660000000002</v>
      </c>
      <c r="G403">
        <v>2079.09</v>
      </c>
      <c r="H403" s="3" t="s">
        <v>300</v>
      </c>
      <c r="I403" t="s">
        <v>1934</v>
      </c>
      <c r="L403" t="s">
        <v>1932</v>
      </c>
      <c r="M403" t="s">
        <v>1932</v>
      </c>
      <c r="N403" t="s">
        <v>1932</v>
      </c>
      <c r="O403" t="s">
        <v>1936</v>
      </c>
      <c r="P403" t="s">
        <v>1932</v>
      </c>
      <c r="Q403">
        <v>2</v>
      </c>
      <c r="T403" t="s">
        <v>2033</v>
      </c>
      <c r="U403" t="s">
        <v>301</v>
      </c>
      <c r="W403" t="s">
        <v>2369</v>
      </c>
      <c r="X403">
        <v>1</v>
      </c>
      <c r="Y403" t="s">
        <v>2302</v>
      </c>
      <c r="Z403" s="5"/>
      <c r="AA403">
        <v>2</v>
      </c>
      <c r="AB403" t="s">
        <v>2355</v>
      </c>
      <c r="AC403" s="5" t="s">
        <v>2355</v>
      </c>
      <c r="AD403">
        <v>2</v>
      </c>
      <c r="AE403" t="s">
        <v>2355</v>
      </c>
      <c r="AF403" t="s">
        <v>2355</v>
      </c>
    </row>
    <row r="404" spans="1:32" hidden="1" x14ac:dyDescent="0.25">
      <c r="A404">
        <v>114</v>
      </c>
      <c r="B404" t="s">
        <v>2260</v>
      </c>
      <c r="C404" t="s">
        <v>281</v>
      </c>
      <c r="D404" t="s">
        <v>118</v>
      </c>
      <c r="E404" t="s">
        <v>23</v>
      </c>
      <c r="F404">
        <v>60.194000000000003</v>
      </c>
      <c r="G404">
        <v>69.489999999999995</v>
      </c>
      <c r="H404" s="3" t="s">
        <v>290</v>
      </c>
      <c r="I404" t="s">
        <v>1934</v>
      </c>
      <c r="K404">
        <v>113</v>
      </c>
      <c r="L404" t="s">
        <v>1932</v>
      </c>
      <c r="M404" t="s">
        <v>1932</v>
      </c>
      <c r="N404">
        <v>2</v>
      </c>
      <c r="O404" t="s">
        <v>1936</v>
      </c>
      <c r="P404" t="s">
        <v>1932</v>
      </c>
      <c r="Q404">
        <v>2</v>
      </c>
      <c r="T404" t="s">
        <v>1963</v>
      </c>
      <c r="U404" t="s">
        <v>291</v>
      </c>
      <c r="W404" t="s">
        <v>2370</v>
      </c>
      <c r="X404">
        <v>1</v>
      </c>
      <c r="Z404" s="5"/>
      <c r="AA404">
        <v>1</v>
      </c>
      <c r="AC404" s="5"/>
      <c r="AD404">
        <v>1</v>
      </c>
    </row>
    <row r="405" spans="1:32" hidden="1" x14ac:dyDescent="0.25">
      <c r="A405">
        <v>509</v>
      </c>
      <c r="B405" t="s">
        <v>2266</v>
      </c>
      <c r="C405" t="s">
        <v>1132</v>
      </c>
      <c r="D405" t="s">
        <v>118</v>
      </c>
      <c r="E405" t="s">
        <v>23</v>
      </c>
      <c r="F405">
        <v>894.45100000000002</v>
      </c>
      <c r="G405">
        <v>903.42600000000004</v>
      </c>
      <c r="H405" s="3" t="s">
        <v>1152</v>
      </c>
      <c r="I405" t="s">
        <v>1934</v>
      </c>
      <c r="L405" t="s">
        <v>1932</v>
      </c>
      <c r="M405" t="s">
        <v>1932</v>
      </c>
      <c r="N405" t="s">
        <v>1932</v>
      </c>
      <c r="O405" t="s">
        <v>1942</v>
      </c>
      <c r="P405" t="s">
        <v>1932</v>
      </c>
      <c r="Q405">
        <v>2</v>
      </c>
      <c r="S405" t="s">
        <v>2236</v>
      </c>
      <c r="T405" t="s">
        <v>2116</v>
      </c>
      <c r="U405" t="s">
        <v>1153</v>
      </c>
      <c r="V405" t="s">
        <v>1154</v>
      </c>
      <c r="W405" t="s">
        <v>1934</v>
      </c>
      <c r="X405">
        <v>1</v>
      </c>
      <c r="Z405" s="5" t="s">
        <v>2302</v>
      </c>
      <c r="AA405">
        <v>1</v>
      </c>
      <c r="AC405" s="5" t="s">
        <v>2302</v>
      </c>
      <c r="AD405">
        <v>1</v>
      </c>
      <c r="AE405" t="s">
        <v>2356</v>
      </c>
      <c r="AF405" t="s">
        <v>2302</v>
      </c>
    </row>
    <row r="406" spans="1:32" hidden="1" x14ac:dyDescent="0.25">
      <c r="A406">
        <v>467</v>
      </c>
      <c r="C406" t="s">
        <v>1063</v>
      </c>
      <c r="D406" t="s">
        <v>19</v>
      </c>
      <c r="E406" t="s">
        <v>20</v>
      </c>
      <c r="F406">
        <v>452.173</v>
      </c>
      <c r="G406">
        <v>464.15899999999999</v>
      </c>
      <c r="H406" s="3" t="s">
        <v>1064</v>
      </c>
      <c r="I406" t="s">
        <v>1934</v>
      </c>
      <c r="L406" t="s">
        <v>1965</v>
      </c>
      <c r="M406" t="s">
        <v>1932</v>
      </c>
      <c r="N406" t="s">
        <v>1932</v>
      </c>
      <c r="O406" t="s">
        <v>1936</v>
      </c>
      <c r="P406" t="s">
        <v>1934</v>
      </c>
      <c r="Q406">
        <v>1</v>
      </c>
      <c r="T406" t="s">
        <v>2059</v>
      </c>
      <c r="U406" t="s">
        <v>1065</v>
      </c>
    </row>
    <row r="407" spans="1:32" hidden="1" x14ac:dyDescent="0.25">
      <c r="A407">
        <v>569</v>
      </c>
      <c r="B407" t="s">
        <v>2267</v>
      </c>
      <c r="C407" t="s">
        <v>1238</v>
      </c>
      <c r="D407" t="s">
        <v>47</v>
      </c>
      <c r="E407" t="s">
        <v>32</v>
      </c>
      <c r="F407">
        <v>1777.7829999999999</v>
      </c>
      <c r="G407">
        <v>1787.6220000000001</v>
      </c>
      <c r="H407" s="3" t="s">
        <v>1280</v>
      </c>
      <c r="I407" t="s">
        <v>1934</v>
      </c>
      <c r="L407" t="s">
        <v>1932</v>
      </c>
      <c r="M407" t="s">
        <v>1932</v>
      </c>
      <c r="N407" t="s">
        <v>1932</v>
      </c>
      <c r="O407" t="s">
        <v>1936</v>
      </c>
      <c r="P407" t="s">
        <v>1932</v>
      </c>
      <c r="Q407">
        <v>2</v>
      </c>
      <c r="T407" t="s">
        <v>2144</v>
      </c>
      <c r="U407" t="s">
        <v>1281</v>
      </c>
      <c r="V407" t="s">
        <v>1241</v>
      </c>
      <c r="W407" t="s">
        <v>2362</v>
      </c>
      <c r="X407">
        <v>1</v>
      </c>
      <c r="AA407">
        <v>1</v>
      </c>
      <c r="AB407" t="s">
        <v>2357</v>
      </c>
      <c r="AD407">
        <v>1</v>
      </c>
      <c r="AE407" t="s">
        <v>2357</v>
      </c>
      <c r="AF407" t="s">
        <v>2357</v>
      </c>
    </row>
    <row r="408" spans="1:32" hidden="1" x14ac:dyDescent="0.25">
      <c r="A408">
        <v>579</v>
      </c>
      <c r="B408" t="s">
        <v>2268</v>
      </c>
      <c r="C408" t="s">
        <v>1292</v>
      </c>
      <c r="D408" t="s">
        <v>118</v>
      </c>
      <c r="E408" t="s">
        <v>20</v>
      </c>
      <c r="F408">
        <v>715.59400000000005</v>
      </c>
      <c r="G408">
        <v>727.90099999999995</v>
      </c>
      <c r="H408" s="3" t="s">
        <v>1301</v>
      </c>
      <c r="I408" t="s">
        <v>1934</v>
      </c>
      <c r="L408" t="s">
        <v>1932</v>
      </c>
      <c r="M408" t="s">
        <v>1932</v>
      </c>
      <c r="N408" t="s">
        <v>1932</v>
      </c>
      <c r="O408" t="s">
        <v>1936</v>
      </c>
      <c r="P408" t="s">
        <v>1932</v>
      </c>
      <c r="Q408">
        <v>2</v>
      </c>
      <c r="T408" t="s">
        <v>2079</v>
      </c>
      <c r="U408" t="s">
        <v>1302</v>
      </c>
      <c r="V408" t="s">
        <v>1135</v>
      </c>
      <c r="W408" t="s">
        <v>1934</v>
      </c>
      <c r="X408">
        <v>1</v>
      </c>
      <c r="Y408" t="s">
        <v>2302</v>
      </c>
      <c r="Z408" s="5"/>
      <c r="AA408">
        <v>1</v>
      </c>
      <c r="AC408" s="5"/>
      <c r="AD408">
        <v>2</v>
      </c>
      <c r="AE408" t="s">
        <v>2352</v>
      </c>
      <c r="AF408" t="s">
        <v>2302</v>
      </c>
    </row>
    <row r="409" spans="1:32" hidden="1" x14ac:dyDescent="0.25">
      <c r="A409">
        <v>484</v>
      </c>
      <c r="C409" t="s">
        <v>1076</v>
      </c>
      <c r="D409" t="s">
        <v>19</v>
      </c>
      <c r="E409" t="s">
        <v>91</v>
      </c>
      <c r="F409">
        <v>2891.3580000000002</v>
      </c>
      <c r="G409">
        <v>2905.4870000000001</v>
      </c>
      <c r="H409" s="3" t="s">
        <v>1099</v>
      </c>
      <c r="I409" t="s">
        <v>1934</v>
      </c>
      <c r="L409" t="s">
        <v>1932</v>
      </c>
      <c r="M409" t="s">
        <v>1932</v>
      </c>
      <c r="N409" t="s">
        <v>1932</v>
      </c>
      <c r="O409" t="s">
        <v>1955</v>
      </c>
      <c r="P409" t="s">
        <v>1934</v>
      </c>
      <c r="Q409">
        <v>1</v>
      </c>
      <c r="T409" t="s">
        <v>2196</v>
      </c>
      <c r="U409" t="s">
        <v>1100</v>
      </c>
    </row>
    <row r="410" spans="1:32" hidden="1" x14ac:dyDescent="0.25">
      <c r="A410">
        <v>613</v>
      </c>
      <c r="B410" t="s">
        <v>2269</v>
      </c>
      <c r="C410" t="s">
        <v>1327</v>
      </c>
      <c r="D410" t="s">
        <v>118</v>
      </c>
      <c r="E410" t="s">
        <v>103</v>
      </c>
      <c r="F410">
        <v>3334.2559999999999</v>
      </c>
      <c r="G410">
        <v>3342.6219999999998</v>
      </c>
      <c r="H410" s="3" t="s">
        <v>1378</v>
      </c>
      <c r="I410" t="s">
        <v>1934</v>
      </c>
      <c r="L410" t="s">
        <v>1932</v>
      </c>
      <c r="M410" t="s">
        <v>1932</v>
      </c>
      <c r="N410" t="s">
        <v>1932</v>
      </c>
      <c r="O410" t="s">
        <v>1936</v>
      </c>
      <c r="P410" t="s">
        <v>1932</v>
      </c>
      <c r="Q410">
        <v>2</v>
      </c>
      <c r="T410" t="s">
        <v>2215</v>
      </c>
      <c r="U410" t="s">
        <v>1379</v>
      </c>
      <c r="W410" t="s">
        <v>2359</v>
      </c>
      <c r="X410">
        <v>1</v>
      </c>
      <c r="Y410" s="5"/>
      <c r="AA410">
        <v>1</v>
      </c>
      <c r="AC410" s="5"/>
      <c r="AD410">
        <v>1</v>
      </c>
    </row>
    <row r="411" spans="1:32" hidden="1" x14ac:dyDescent="0.25">
      <c r="A411">
        <v>602</v>
      </c>
      <c r="B411" t="s">
        <v>2253</v>
      </c>
      <c r="C411" t="s">
        <v>1327</v>
      </c>
      <c r="D411" t="s">
        <v>118</v>
      </c>
      <c r="E411" t="s">
        <v>32</v>
      </c>
      <c r="F411">
        <v>491.67599999999999</v>
      </c>
      <c r="G411">
        <v>502.46199999999999</v>
      </c>
      <c r="H411" s="3" t="s">
        <v>1351</v>
      </c>
      <c r="I411" t="s">
        <v>1934</v>
      </c>
      <c r="L411" t="s">
        <v>2012</v>
      </c>
      <c r="M411" t="s">
        <v>1932</v>
      </c>
      <c r="N411" t="s">
        <v>1932</v>
      </c>
      <c r="O411" t="s">
        <v>1936</v>
      </c>
      <c r="P411" t="s">
        <v>1934</v>
      </c>
      <c r="Q411">
        <v>1</v>
      </c>
      <c r="T411" t="s">
        <v>2063</v>
      </c>
      <c r="U411" t="s">
        <v>1352</v>
      </c>
      <c r="V411" t="s">
        <v>1330</v>
      </c>
      <c r="W411" t="s">
        <v>2359</v>
      </c>
      <c r="X411">
        <v>1</v>
      </c>
      <c r="Y411" s="5"/>
      <c r="Z411" t="s">
        <v>2302</v>
      </c>
      <c r="AA411">
        <v>1</v>
      </c>
      <c r="AC411" s="5"/>
      <c r="AD411">
        <v>1</v>
      </c>
      <c r="AE411" t="s">
        <v>2302</v>
      </c>
      <c r="AF411" t="s">
        <v>2297</v>
      </c>
    </row>
    <row r="412" spans="1:32" hidden="1" x14ac:dyDescent="0.25">
      <c r="A412">
        <v>616</v>
      </c>
      <c r="B412" t="s">
        <v>2270</v>
      </c>
      <c r="C412" t="s">
        <v>1327</v>
      </c>
      <c r="D412" t="s">
        <v>47</v>
      </c>
      <c r="E412" t="s">
        <v>26</v>
      </c>
      <c r="F412">
        <v>807.35299999999995</v>
      </c>
      <c r="G412">
        <v>817.14499999999998</v>
      </c>
      <c r="H412" s="3" t="s">
        <v>1384</v>
      </c>
      <c r="I412" t="s">
        <v>1934</v>
      </c>
      <c r="L412" t="s">
        <v>1932</v>
      </c>
      <c r="M412" t="s">
        <v>1932</v>
      </c>
      <c r="N412" t="s">
        <v>1932</v>
      </c>
      <c r="O412" t="s">
        <v>1936</v>
      </c>
      <c r="P412" t="s">
        <v>1932</v>
      </c>
      <c r="Q412">
        <v>2</v>
      </c>
      <c r="T412" t="s">
        <v>2089</v>
      </c>
      <c r="U412" t="s">
        <v>1385</v>
      </c>
      <c r="V412" t="s">
        <v>1330</v>
      </c>
      <c r="W412" t="s">
        <v>1934</v>
      </c>
      <c r="X412">
        <v>1</v>
      </c>
      <c r="Y412" s="5"/>
      <c r="AA412">
        <v>1</v>
      </c>
      <c r="AC412" s="5"/>
      <c r="AD412">
        <v>1</v>
      </c>
    </row>
    <row r="413" spans="1:32" x14ac:dyDescent="0.25">
      <c r="A413">
        <v>78</v>
      </c>
      <c r="C413" t="s">
        <v>215</v>
      </c>
      <c r="D413" t="s">
        <v>19</v>
      </c>
      <c r="E413" t="s">
        <v>20</v>
      </c>
      <c r="F413">
        <v>302.54599999999999</v>
      </c>
      <c r="G413">
        <v>313.55799999999999</v>
      </c>
      <c r="H413" s="3" t="s">
        <v>216</v>
      </c>
      <c r="I413" t="s">
        <v>1934</v>
      </c>
      <c r="L413" t="s">
        <v>1965</v>
      </c>
      <c r="M413" t="s">
        <v>1934</v>
      </c>
      <c r="N413" t="s">
        <v>1932</v>
      </c>
      <c r="O413" t="s">
        <v>1955</v>
      </c>
      <c r="P413" t="s">
        <v>1937</v>
      </c>
      <c r="Q413">
        <v>4</v>
      </c>
      <c r="T413" t="s">
        <v>2001</v>
      </c>
      <c r="U413" t="s">
        <v>217</v>
      </c>
    </row>
    <row r="414" spans="1:32" hidden="1" x14ac:dyDescent="0.25">
      <c r="A414">
        <v>79</v>
      </c>
      <c r="C414" t="s">
        <v>215</v>
      </c>
      <c r="D414" t="s">
        <v>19</v>
      </c>
      <c r="E414" t="s">
        <v>23</v>
      </c>
      <c r="F414">
        <v>1233.7840000000001</v>
      </c>
      <c r="G414">
        <v>1243.7570000000001</v>
      </c>
      <c r="H414" s="3" t="s">
        <v>218</v>
      </c>
      <c r="I414" t="s">
        <v>1934</v>
      </c>
      <c r="L414" t="s">
        <v>1932</v>
      </c>
      <c r="M414" t="s">
        <v>1934</v>
      </c>
      <c r="N414" t="s">
        <v>1932</v>
      </c>
      <c r="O414" t="s">
        <v>1942</v>
      </c>
      <c r="P414" t="s">
        <v>1932</v>
      </c>
      <c r="Q414">
        <v>2</v>
      </c>
      <c r="T414" t="s">
        <v>2013</v>
      </c>
      <c r="U414" t="s">
        <v>219</v>
      </c>
    </row>
    <row r="415" spans="1:32" hidden="1" x14ac:dyDescent="0.25">
      <c r="A415">
        <v>649</v>
      </c>
      <c r="B415" t="s">
        <v>2271</v>
      </c>
      <c r="C415" t="s">
        <v>1426</v>
      </c>
      <c r="D415" t="s">
        <v>47</v>
      </c>
      <c r="E415" t="s">
        <v>41</v>
      </c>
      <c r="F415">
        <v>1499.36</v>
      </c>
      <c r="G415">
        <v>1508.039</v>
      </c>
      <c r="H415" s="3" t="s">
        <v>1457</v>
      </c>
      <c r="I415" t="s">
        <v>1934</v>
      </c>
      <c r="L415" t="s">
        <v>1932</v>
      </c>
      <c r="M415" t="s">
        <v>1932</v>
      </c>
      <c r="N415" t="s">
        <v>1932</v>
      </c>
      <c r="O415" t="s">
        <v>1942</v>
      </c>
      <c r="P415" t="s">
        <v>1932</v>
      </c>
      <c r="Q415">
        <v>2</v>
      </c>
      <c r="S415" t="s">
        <v>2131</v>
      </c>
      <c r="T415" t="s">
        <v>2132</v>
      </c>
      <c r="U415" t="s">
        <v>1458</v>
      </c>
      <c r="W415" t="s">
        <v>1934</v>
      </c>
      <c r="X415">
        <v>1</v>
      </c>
      <c r="Z415" s="5"/>
      <c r="AA415">
        <v>1</v>
      </c>
      <c r="AC415" s="5"/>
      <c r="AD415">
        <v>1</v>
      </c>
      <c r="AE415" t="s">
        <v>2351</v>
      </c>
    </row>
    <row r="416" spans="1:32" hidden="1" x14ac:dyDescent="0.25">
      <c r="A416">
        <v>83</v>
      </c>
      <c r="C416" t="s">
        <v>215</v>
      </c>
      <c r="D416" t="s">
        <v>19</v>
      </c>
      <c r="E416" t="s">
        <v>35</v>
      </c>
      <c r="F416">
        <v>1606.8979999999999</v>
      </c>
      <c r="G416">
        <v>1616.164</v>
      </c>
      <c r="H416" s="3" t="s">
        <v>226</v>
      </c>
      <c r="I416" t="s">
        <v>1934</v>
      </c>
      <c r="L416" t="s">
        <v>1932</v>
      </c>
      <c r="M416" t="s">
        <v>1932</v>
      </c>
      <c r="N416" t="s">
        <v>1932</v>
      </c>
      <c r="O416" t="s">
        <v>1936</v>
      </c>
      <c r="P416" t="s">
        <v>1934</v>
      </c>
      <c r="Q416">
        <v>1</v>
      </c>
      <c r="S416" t="s">
        <v>2021</v>
      </c>
      <c r="T416" t="s">
        <v>2020</v>
      </c>
      <c r="U416" t="s">
        <v>227</v>
      </c>
    </row>
    <row r="417" spans="1:32" hidden="1" x14ac:dyDescent="0.25">
      <c r="A417">
        <v>95</v>
      </c>
      <c r="C417" t="s">
        <v>215</v>
      </c>
      <c r="D417" t="s">
        <v>47</v>
      </c>
      <c r="E417" t="s">
        <v>29</v>
      </c>
      <c r="F417">
        <v>3297.09</v>
      </c>
      <c r="G417">
        <v>3305.7649999999999</v>
      </c>
      <c r="H417" s="3" t="s">
        <v>250</v>
      </c>
      <c r="I417" t="s">
        <v>1934</v>
      </c>
      <c r="L417" t="s">
        <v>1932</v>
      </c>
      <c r="M417" t="s">
        <v>1932</v>
      </c>
      <c r="N417" t="s">
        <v>1932</v>
      </c>
      <c r="O417" t="s">
        <v>1936</v>
      </c>
      <c r="P417" t="s">
        <v>1934</v>
      </c>
      <c r="Q417">
        <v>1</v>
      </c>
      <c r="T417" t="s">
        <v>2040</v>
      </c>
      <c r="U417" t="s">
        <v>251</v>
      </c>
    </row>
    <row r="418" spans="1:32" x14ac:dyDescent="0.25">
      <c r="A418">
        <v>110</v>
      </c>
      <c r="C418" t="s">
        <v>281</v>
      </c>
      <c r="D418" t="s">
        <v>19</v>
      </c>
      <c r="E418" t="s">
        <v>20</v>
      </c>
      <c r="F418">
        <v>85.823999999999998</v>
      </c>
      <c r="G418">
        <v>94.957999999999998</v>
      </c>
      <c r="H418" s="3" t="s">
        <v>282</v>
      </c>
      <c r="I418" t="s">
        <v>1934</v>
      </c>
      <c r="J418" t="s">
        <v>1957</v>
      </c>
      <c r="L418" t="s">
        <v>1932</v>
      </c>
      <c r="M418" t="s">
        <v>1932</v>
      </c>
      <c r="N418" t="s">
        <v>1932</v>
      </c>
      <c r="O418" t="s">
        <v>1936</v>
      </c>
      <c r="P418" t="s">
        <v>1937</v>
      </c>
      <c r="Q418">
        <v>4</v>
      </c>
      <c r="T418" t="s">
        <v>1977</v>
      </c>
      <c r="U418" t="s">
        <v>283</v>
      </c>
    </row>
    <row r="419" spans="1:32" hidden="1" x14ac:dyDescent="0.25">
      <c r="A419">
        <v>113</v>
      </c>
      <c r="C419" t="s">
        <v>281</v>
      </c>
      <c r="D419" t="s">
        <v>118</v>
      </c>
      <c r="E419" t="s">
        <v>20</v>
      </c>
      <c r="F419">
        <v>59.222000000000001</v>
      </c>
      <c r="G419">
        <v>67.855999999999995</v>
      </c>
      <c r="H419" s="3" t="s">
        <v>288</v>
      </c>
      <c r="I419" t="s">
        <v>1934</v>
      </c>
      <c r="J419" t="s">
        <v>1950</v>
      </c>
      <c r="K419">
        <v>114</v>
      </c>
      <c r="L419" t="s">
        <v>1932</v>
      </c>
      <c r="M419" t="s">
        <v>1932</v>
      </c>
      <c r="N419">
        <v>2</v>
      </c>
      <c r="O419" t="s">
        <v>1936</v>
      </c>
      <c r="P419" t="s">
        <v>1932</v>
      </c>
      <c r="Q419">
        <v>2</v>
      </c>
      <c r="T419" t="s">
        <v>1963</v>
      </c>
      <c r="U419" t="s">
        <v>289</v>
      </c>
    </row>
    <row r="420" spans="1:32" hidden="1" x14ac:dyDescent="0.25">
      <c r="A420">
        <v>641</v>
      </c>
      <c r="B420" t="s">
        <v>2272</v>
      </c>
      <c r="C420" t="s">
        <v>1426</v>
      </c>
      <c r="D420" t="s">
        <v>118</v>
      </c>
      <c r="E420" t="s">
        <v>20</v>
      </c>
      <c r="F420">
        <v>1905.434</v>
      </c>
      <c r="G420">
        <v>1913.8889999999999</v>
      </c>
      <c r="H420" s="3" t="s">
        <v>1441</v>
      </c>
      <c r="I420" t="s">
        <v>1934</v>
      </c>
      <c r="L420" t="s">
        <v>1932</v>
      </c>
      <c r="M420" t="s">
        <v>1932</v>
      </c>
      <c r="N420" t="s">
        <v>1932</v>
      </c>
      <c r="O420" t="s">
        <v>1936</v>
      </c>
      <c r="P420" t="s">
        <v>1932</v>
      </c>
      <c r="Q420">
        <v>2</v>
      </c>
      <c r="T420" t="s">
        <v>2153</v>
      </c>
      <c r="U420" t="s">
        <v>1442</v>
      </c>
      <c r="W420" t="s">
        <v>1934</v>
      </c>
      <c r="X420">
        <v>1</v>
      </c>
      <c r="Z420" s="5"/>
      <c r="AA420">
        <v>1</v>
      </c>
      <c r="AC420" s="5"/>
      <c r="AD420">
        <v>1</v>
      </c>
      <c r="AF420" t="s">
        <v>2302</v>
      </c>
    </row>
    <row r="421" spans="1:32" hidden="1" x14ac:dyDescent="0.25">
      <c r="A421">
        <v>117</v>
      </c>
      <c r="C421" t="s">
        <v>281</v>
      </c>
      <c r="D421" t="s">
        <v>118</v>
      </c>
      <c r="E421" t="s">
        <v>32</v>
      </c>
      <c r="F421">
        <v>758.22299999999996</v>
      </c>
      <c r="G421">
        <v>766.58500000000004</v>
      </c>
      <c r="H421" s="3" t="s">
        <v>296</v>
      </c>
      <c r="I421" t="s">
        <v>1934</v>
      </c>
      <c r="L421" t="s">
        <v>1932</v>
      </c>
      <c r="M421" t="s">
        <v>1932</v>
      </c>
      <c r="N421" t="s">
        <v>1932</v>
      </c>
      <c r="O421" t="s">
        <v>1936</v>
      </c>
      <c r="P421" t="s">
        <v>1937</v>
      </c>
      <c r="R421" t="s">
        <v>1970</v>
      </c>
      <c r="T421" t="s">
        <v>2007</v>
      </c>
      <c r="U421" t="s">
        <v>297</v>
      </c>
    </row>
    <row r="422" spans="1:32" hidden="1" x14ac:dyDescent="0.25">
      <c r="A422">
        <v>670</v>
      </c>
      <c r="B422" t="s">
        <v>2274</v>
      </c>
      <c r="C422" t="s">
        <v>1477</v>
      </c>
      <c r="D422" t="s">
        <v>47</v>
      </c>
      <c r="E422" t="s">
        <v>29</v>
      </c>
      <c r="F422">
        <v>1274.453</v>
      </c>
      <c r="G422">
        <v>1286.1780000000001</v>
      </c>
      <c r="H422" s="3" t="s">
        <v>1500</v>
      </c>
      <c r="I422" t="s">
        <v>1934</v>
      </c>
      <c r="L422" t="s">
        <v>1932</v>
      </c>
      <c r="M422" t="s">
        <v>1932</v>
      </c>
      <c r="N422" t="s">
        <v>1932</v>
      </c>
      <c r="O422" t="s">
        <v>1936</v>
      </c>
      <c r="P422" t="s">
        <v>1932</v>
      </c>
      <c r="Q422">
        <v>2</v>
      </c>
      <c r="T422" t="s">
        <v>2123</v>
      </c>
      <c r="U422" t="s">
        <v>1501</v>
      </c>
      <c r="W422" t="s">
        <v>2359</v>
      </c>
      <c r="X422">
        <v>1</v>
      </c>
      <c r="Z422" s="5"/>
      <c r="AA422">
        <v>1</v>
      </c>
      <c r="AB422" s="5"/>
      <c r="AD422">
        <v>1</v>
      </c>
      <c r="AE422" t="s">
        <v>2297</v>
      </c>
    </row>
    <row r="423" spans="1:32" hidden="1" x14ac:dyDescent="0.25">
      <c r="A423">
        <v>808</v>
      </c>
      <c r="B423" t="s">
        <v>2255</v>
      </c>
      <c r="C423" t="s">
        <v>1732</v>
      </c>
      <c r="D423" t="s">
        <v>47</v>
      </c>
      <c r="E423" t="s">
        <v>97</v>
      </c>
      <c r="F423">
        <v>3008.5529999999999</v>
      </c>
      <c r="G423">
        <v>3017.721</v>
      </c>
      <c r="H423" s="3" t="s">
        <v>1791</v>
      </c>
      <c r="I423" t="s">
        <v>1934</v>
      </c>
      <c r="L423" t="s">
        <v>1932</v>
      </c>
      <c r="M423" t="s">
        <v>1932</v>
      </c>
      <c r="N423" t="s">
        <v>1932</v>
      </c>
      <c r="O423" t="s">
        <v>1942</v>
      </c>
      <c r="P423" t="s">
        <v>1934</v>
      </c>
      <c r="Q423">
        <v>1</v>
      </c>
      <c r="T423" t="s">
        <v>2198</v>
      </c>
      <c r="U423" t="s">
        <v>1792</v>
      </c>
      <c r="W423" t="s">
        <v>1934</v>
      </c>
      <c r="X423">
        <v>1</v>
      </c>
      <c r="Y423" t="s">
        <v>2297</v>
      </c>
      <c r="Z423" s="5" t="s">
        <v>2297</v>
      </c>
      <c r="AA423">
        <v>1</v>
      </c>
      <c r="AC423" s="5"/>
      <c r="AD423">
        <v>1</v>
      </c>
      <c r="AE423" t="s">
        <v>2297</v>
      </c>
    </row>
    <row r="424" spans="1:32" x14ac:dyDescent="0.25">
      <c r="A424">
        <v>126</v>
      </c>
      <c r="C424" t="s">
        <v>281</v>
      </c>
      <c r="D424" t="s">
        <v>118</v>
      </c>
      <c r="E424" t="s">
        <v>97</v>
      </c>
      <c r="F424">
        <v>2983.2489999999998</v>
      </c>
      <c r="G424">
        <v>2991.741</v>
      </c>
      <c r="H424" s="3" t="s">
        <v>314</v>
      </c>
      <c r="I424" t="s">
        <v>1934</v>
      </c>
      <c r="L424" t="s">
        <v>1932</v>
      </c>
      <c r="M424" t="s">
        <v>1932</v>
      </c>
      <c r="N424" t="s">
        <v>1932</v>
      </c>
      <c r="O424" t="s">
        <v>1936</v>
      </c>
      <c r="P424" t="s">
        <v>2095</v>
      </c>
      <c r="Q424">
        <v>4</v>
      </c>
      <c r="T424" t="s">
        <v>2232</v>
      </c>
      <c r="U424" t="s">
        <v>315</v>
      </c>
    </row>
    <row r="425" spans="1:32" hidden="1" x14ac:dyDescent="0.25">
      <c r="A425">
        <v>809</v>
      </c>
      <c r="B425" t="s">
        <v>2256</v>
      </c>
      <c r="C425" t="s">
        <v>1732</v>
      </c>
      <c r="D425" t="s">
        <v>47</v>
      </c>
      <c r="E425" t="s">
        <v>100</v>
      </c>
      <c r="F425">
        <v>3127.5230000000001</v>
      </c>
      <c r="G425">
        <v>3136.011</v>
      </c>
      <c r="H425" s="3" t="s">
        <v>1793</v>
      </c>
      <c r="I425" t="s">
        <v>1934</v>
      </c>
      <c r="L425" t="s">
        <v>1932</v>
      </c>
      <c r="M425" t="s">
        <v>1932</v>
      </c>
      <c r="N425" t="s">
        <v>1932</v>
      </c>
      <c r="O425" t="s">
        <v>1936</v>
      </c>
      <c r="P425" t="s">
        <v>1934</v>
      </c>
      <c r="Q425">
        <v>1</v>
      </c>
      <c r="T425" t="s">
        <v>2199</v>
      </c>
      <c r="U425" t="s">
        <v>1794</v>
      </c>
      <c r="W425" t="s">
        <v>1934</v>
      </c>
      <c r="X425">
        <v>2</v>
      </c>
      <c r="Y425" t="s">
        <v>2314</v>
      </c>
      <c r="Z425" s="5"/>
      <c r="AA425">
        <v>1</v>
      </c>
      <c r="AC425" s="5" t="s">
        <v>2302</v>
      </c>
      <c r="AD425">
        <v>1</v>
      </c>
      <c r="AE425" t="s">
        <v>2316</v>
      </c>
      <c r="AF425" t="s">
        <v>2315</v>
      </c>
    </row>
    <row r="426" spans="1:32" hidden="1" x14ac:dyDescent="0.25">
      <c r="A426">
        <v>128</v>
      </c>
      <c r="C426" t="s">
        <v>281</v>
      </c>
      <c r="D426" t="s">
        <v>118</v>
      </c>
      <c r="E426" t="s">
        <v>103</v>
      </c>
      <c r="F426">
        <v>2998.5279999999998</v>
      </c>
      <c r="G426">
        <v>3006.799</v>
      </c>
      <c r="H426" s="3" t="s">
        <v>318</v>
      </c>
      <c r="I426" t="s">
        <v>1934</v>
      </c>
      <c r="L426" t="s">
        <v>1932</v>
      </c>
      <c r="M426" t="s">
        <v>1932</v>
      </c>
      <c r="N426" t="s">
        <v>1932</v>
      </c>
      <c r="O426" t="s">
        <v>1936</v>
      </c>
      <c r="P426" t="s">
        <v>1934</v>
      </c>
      <c r="Q426">
        <v>1</v>
      </c>
      <c r="T426" t="s">
        <v>2098</v>
      </c>
      <c r="U426" t="s">
        <v>319</v>
      </c>
    </row>
    <row r="427" spans="1:32" hidden="1" x14ac:dyDescent="0.25">
      <c r="A427">
        <v>134</v>
      </c>
      <c r="C427" t="s">
        <v>281</v>
      </c>
      <c r="D427" t="s">
        <v>47</v>
      </c>
      <c r="E427" t="s">
        <v>32</v>
      </c>
      <c r="F427">
        <v>2386.511</v>
      </c>
      <c r="G427">
        <v>2394.9349999999999</v>
      </c>
      <c r="H427" s="3" t="s">
        <v>330</v>
      </c>
      <c r="I427" t="s">
        <v>1934</v>
      </c>
      <c r="L427" t="s">
        <v>1932</v>
      </c>
      <c r="M427" t="s">
        <v>1932</v>
      </c>
      <c r="N427" t="s">
        <v>1932</v>
      </c>
      <c r="O427" t="s">
        <v>1942</v>
      </c>
      <c r="P427" t="s">
        <v>1932</v>
      </c>
      <c r="Q427">
        <v>2</v>
      </c>
      <c r="T427" t="s">
        <v>2099</v>
      </c>
      <c r="U427" t="s">
        <v>331</v>
      </c>
    </row>
    <row r="428" spans="1:32" hidden="1" x14ac:dyDescent="0.25">
      <c r="A428">
        <v>508</v>
      </c>
      <c r="C428" t="s">
        <v>1132</v>
      </c>
      <c r="D428" t="s">
        <v>118</v>
      </c>
      <c r="E428" t="s">
        <v>20</v>
      </c>
      <c r="F428">
        <v>802.12599999999998</v>
      </c>
      <c r="G428">
        <v>812.29700000000003</v>
      </c>
      <c r="H428" s="3" t="s">
        <v>1150</v>
      </c>
      <c r="I428" t="s">
        <v>1934</v>
      </c>
      <c r="L428" t="s">
        <v>1932</v>
      </c>
      <c r="M428" t="s">
        <v>1932</v>
      </c>
      <c r="N428" t="s">
        <v>1932</v>
      </c>
      <c r="O428" t="s">
        <v>1936</v>
      </c>
      <c r="P428" t="s">
        <v>1934</v>
      </c>
      <c r="Q428">
        <v>1</v>
      </c>
      <c r="T428" t="s">
        <v>2087</v>
      </c>
      <c r="U428" t="s">
        <v>1151</v>
      </c>
      <c r="V428" t="s">
        <v>1135</v>
      </c>
    </row>
    <row r="429" spans="1:32" hidden="1" x14ac:dyDescent="0.25">
      <c r="A429">
        <v>862</v>
      </c>
      <c r="B429" t="s">
        <v>2276</v>
      </c>
      <c r="C429" t="s">
        <v>1881</v>
      </c>
      <c r="D429" t="s">
        <v>118</v>
      </c>
      <c r="E429" t="s">
        <v>26</v>
      </c>
      <c r="F429">
        <v>1772.4390000000001</v>
      </c>
      <c r="G429">
        <v>1782.3009999999999</v>
      </c>
      <c r="H429" s="3" t="s">
        <v>1913</v>
      </c>
      <c r="I429" t="s">
        <v>1934</v>
      </c>
      <c r="L429" t="s">
        <v>1932</v>
      </c>
      <c r="M429" t="s">
        <v>1932</v>
      </c>
      <c r="N429" t="s">
        <v>1932</v>
      </c>
      <c r="O429" t="s">
        <v>1936</v>
      </c>
      <c r="P429" t="s">
        <v>1932</v>
      </c>
      <c r="Q429">
        <v>2</v>
      </c>
      <c r="T429" t="s">
        <v>2143</v>
      </c>
      <c r="U429" t="s">
        <v>1914</v>
      </c>
      <c r="W429" t="s">
        <v>1934</v>
      </c>
      <c r="X429">
        <v>1</v>
      </c>
      <c r="Z429" s="5"/>
      <c r="AA429">
        <v>1</v>
      </c>
      <c r="AC429" s="5"/>
      <c r="AD429">
        <v>2</v>
      </c>
      <c r="AE429" t="s">
        <v>2345</v>
      </c>
    </row>
    <row r="430" spans="1:32" hidden="1" x14ac:dyDescent="0.25">
      <c r="A430">
        <v>280</v>
      </c>
      <c r="C430" t="s">
        <v>521</v>
      </c>
      <c r="D430" t="s">
        <v>19</v>
      </c>
      <c r="E430" t="s">
        <v>677</v>
      </c>
      <c r="F430">
        <v>3024.002</v>
      </c>
      <c r="G430">
        <v>3032.95</v>
      </c>
      <c r="H430" s="3" t="s">
        <v>678</v>
      </c>
      <c r="I430" t="s">
        <v>1932</v>
      </c>
      <c r="J430" t="s">
        <v>1961</v>
      </c>
      <c r="U430" t="s">
        <v>679</v>
      </c>
    </row>
    <row r="431" spans="1:32" hidden="1" x14ac:dyDescent="0.25">
      <c r="A431">
        <v>342</v>
      </c>
      <c r="C431" t="s">
        <v>521</v>
      </c>
      <c r="D431" t="s">
        <v>47</v>
      </c>
      <c r="E431" t="s">
        <v>88</v>
      </c>
      <c r="F431">
        <v>3042.0549999999998</v>
      </c>
      <c r="G431">
        <v>3051.1849999999999</v>
      </c>
      <c r="H431" s="3" t="s">
        <v>812</v>
      </c>
      <c r="I431" t="s">
        <v>1932</v>
      </c>
      <c r="J431" t="s">
        <v>1957</v>
      </c>
      <c r="U431" t="s">
        <v>813</v>
      </c>
    </row>
    <row r="432" spans="1:32" hidden="1" x14ac:dyDescent="0.25">
      <c r="A432">
        <v>343</v>
      </c>
      <c r="C432" t="s">
        <v>521</v>
      </c>
      <c r="D432" t="s">
        <v>47</v>
      </c>
      <c r="E432" t="s">
        <v>91</v>
      </c>
      <c r="F432">
        <v>3069.0859999999998</v>
      </c>
      <c r="G432">
        <v>3077.7220000000002</v>
      </c>
      <c r="H432" s="3" t="s">
        <v>814</v>
      </c>
      <c r="I432" t="s">
        <v>1932</v>
      </c>
      <c r="J432" t="s">
        <v>1952</v>
      </c>
      <c r="U432" t="s">
        <v>815</v>
      </c>
    </row>
    <row r="433" spans="1:32" hidden="1" x14ac:dyDescent="0.25">
      <c r="A433">
        <v>344</v>
      </c>
      <c r="C433" t="s">
        <v>521</v>
      </c>
      <c r="D433" t="s">
        <v>47</v>
      </c>
      <c r="E433" t="s">
        <v>94</v>
      </c>
      <c r="F433">
        <v>3079.09</v>
      </c>
      <c r="G433">
        <v>3088.5830000000001</v>
      </c>
      <c r="H433" s="3" t="s">
        <v>816</v>
      </c>
      <c r="I433" t="s">
        <v>1932</v>
      </c>
      <c r="J433" t="s">
        <v>2106</v>
      </c>
      <c r="U433" t="s">
        <v>817</v>
      </c>
    </row>
    <row r="434" spans="1:32" hidden="1" x14ac:dyDescent="0.25">
      <c r="A434">
        <v>101</v>
      </c>
      <c r="B434" t="s">
        <v>2278</v>
      </c>
      <c r="C434" t="s">
        <v>252</v>
      </c>
      <c r="D434" t="s">
        <v>47</v>
      </c>
      <c r="E434" t="s">
        <v>20</v>
      </c>
      <c r="F434">
        <v>873.39400000000001</v>
      </c>
      <c r="G434">
        <v>881.84900000000005</v>
      </c>
      <c r="H434" s="3" t="s">
        <v>263</v>
      </c>
      <c r="I434" t="s">
        <v>1934</v>
      </c>
      <c r="J434" t="s">
        <v>1957</v>
      </c>
      <c r="L434" t="s">
        <v>1932</v>
      </c>
      <c r="M434" t="s">
        <v>1932</v>
      </c>
      <c r="N434" t="s">
        <v>1932</v>
      </c>
      <c r="O434" t="s">
        <v>1936</v>
      </c>
      <c r="P434" t="s">
        <v>2095</v>
      </c>
      <c r="Q434">
        <v>4</v>
      </c>
      <c r="T434" t="s">
        <v>2145</v>
      </c>
      <c r="U434" t="s">
        <v>264</v>
      </c>
      <c r="W434" t="s">
        <v>1934</v>
      </c>
      <c r="X434">
        <v>1</v>
      </c>
      <c r="Z434" s="5"/>
      <c r="AA434">
        <v>1</v>
      </c>
      <c r="AC434" s="5"/>
      <c r="AD434">
        <v>2</v>
      </c>
      <c r="AE434" t="s">
        <v>2332</v>
      </c>
      <c r="AF434" t="s">
        <v>2333</v>
      </c>
    </row>
    <row r="435" spans="1:32" hidden="1" x14ac:dyDescent="0.25">
      <c r="A435">
        <v>281</v>
      </c>
      <c r="C435" t="s">
        <v>521</v>
      </c>
      <c r="D435" t="s">
        <v>19</v>
      </c>
      <c r="E435" t="s">
        <v>680</v>
      </c>
      <c r="F435">
        <v>3097.2289999999998</v>
      </c>
      <c r="G435">
        <v>3106.7869999999998</v>
      </c>
      <c r="H435" s="3" t="s">
        <v>681</v>
      </c>
      <c r="I435" t="s">
        <v>1932</v>
      </c>
      <c r="J435" t="s">
        <v>2125</v>
      </c>
      <c r="K435">
        <v>345</v>
      </c>
      <c r="U435" t="s">
        <v>682</v>
      </c>
    </row>
    <row r="436" spans="1:32" hidden="1" x14ac:dyDescent="0.25">
      <c r="A436">
        <v>345</v>
      </c>
      <c r="C436" t="s">
        <v>521</v>
      </c>
      <c r="D436" t="s">
        <v>47</v>
      </c>
      <c r="E436" t="s">
        <v>97</v>
      </c>
      <c r="F436">
        <v>3098.7869999999998</v>
      </c>
      <c r="G436">
        <v>3108.28</v>
      </c>
      <c r="H436" s="3" t="s">
        <v>818</v>
      </c>
      <c r="I436" t="s">
        <v>1932</v>
      </c>
      <c r="J436" t="s">
        <v>2125</v>
      </c>
      <c r="K436">
        <v>281</v>
      </c>
      <c r="U436" t="s">
        <v>819</v>
      </c>
    </row>
    <row r="437" spans="1:32" hidden="1" x14ac:dyDescent="0.25">
      <c r="A437">
        <v>346</v>
      </c>
      <c r="C437" t="s">
        <v>521</v>
      </c>
      <c r="D437" t="s">
        <v>47</v>
      </c>
      <c r="E437" t="s">
        <v>100</v>
      </c>
      <c r="F437">
        <v>3122.7280000000001</v>
      </c>
      <c r="G437">
        <v>3131.681</v>
      </c>
      <c r="H437" s="3" t="s">
        <v>820</v>
      </c>
      <c r="I437" t="s">
        <v>1932</v>
      </c>
      <c r="J437" t="s">
        <v>1961</v>
      </c>
      <c r="U437" t="s">
        <v>821</v>
      </c>
    </row>
    <row r="438" spans="1:32" hidden="1" x14ac:dyDescent="0.25">
      <c r="A438">
        <v>282</v>
      </c>
      <c r="C438" t="s">
        <v>521</v>
      </c>
      <c r="D438" t="s">
        <v>19</v>
      </c>
      <c r="E438" t="s">
        <v>683</v>
      </c>
      <c r="F438">
        <v>3129.85</v>
      </c>
      <c r="G438">
        <v>3141.4209999999998</v>
      </c>
      <c r="H438" s="3" t="s">
        <v>684</v>
      </c>
      <c r="I438" t="s">
        <v>1932</v>
      </c>
      <c r="J438" t="s">
        <v>2125</v>
      </c>
      <c r="U438" t="s">
        <v>685</v>
      </c>
    </row>
    <row r="439" spans="1:32" hidden="1" x14ac:dyDescent="0.25">
      <c r="A439">
        <v>630</v>
      </c>
      <c r="B439" t="s">
        <v>2289</v>
      </c>
      <c r="C439" t="s">
        <v>1391</v>
      </c>
      <c r="D439" t="s">
        <v>47</v>
      </c>
      <c r="E439" t="s">
        <v>26</v>
      </c>
      <c r="F439">
        <v>3528.2269999999999</v>
      </c>
      <c r="G439">
        <v>3536.8380000000002</v>
      </c>
      <c r="H439" s="3" t="s">
        <v>1416</v>
      </c>
      <c r="I439" t="s">
        <v>1934</v>
      </c>
      <c r="J439" t="s">
        <v>1941</v>
      </c>
      <c r="L439" t="s">
        <v>1932</v>
      </c>
      <c r="M439" t="s">
        <v>1932</v>
      </c>
      <c r="N439" t="s">
        <v>1932</v>
      </c>
      <c r="O439" t="s">
        <v>1942</v>
      </c>
      <c r="P439" t="s">
        <v>2095</v>
      </c>
      <c r="Q439">
        <v>4</v>
      </c>
      <c r="T439" t="s">
        <v>2218</v>
      </c>
      <c r="U439" t="s">
        <v>1417</v>
      </c>
      <c r="W439" t="s">
        <v>2371</v>
      </c>
      <c r="X439">
        <v>1</v>
      </c>
      <c r="AA439">
        <v>1</v>
      </c>
      <c r="AD439">
        <v>2</v>
      </c>
      <c r="AE439" t="s">
        <v>2335</v>
      </c>
      <c r="AF439" t="s">
        <v>2334</v>
      </c>
    </row>
    <row r="440" spans="1:32" hidden="1" x14ac:dyDescent="0.25">
      <c r="A440">
        <v>283</v>
      </c>
      <c r="C440" t="s">
        <v>521</v>
      </c>
      <c r="D440" t="s">
        <v>19</v>
      </c>
      <c r="E440" t="s">
        <v>686</v>
      </c>
      <c r="F440">
        <v>3136.0740000000001</v>
      </c>
      <c r="G440">
        <v>3145.1</v>
      </c>
      <c r="H440" s="3" t="s">
        <v>687</v>
      </c>
      <c r="I440" t="s">
        <v>1932</v>
      </c>
      <c r="J440" t="s">
        <v>1961</v>
      </c>
      <c r="U440" t="s">
        <v>688</v>
      </c>
    </row>
    <row r="441" spans="1:32" hidden="1" x14ac:dyDescent="0.25">
      <c r="A441">
        <v>284</v>
      </c>
      <c r="C441" t="s">
        <v>521</v>
      </c>
      <c r="D441" t="s">
        <v>19</v>
      </c>
      <c r="E441" t="s">
        <v>689</v>
      </c>
      <c r="F441">
        <v>3144.808</v>
      </c>
      <c r="G441">
        <v>3155.7950000000001</v>
      </c>
      <c r="H441" s="3" t="s">
        <v>690</v>
      </c>
      <c r="I441" t="s">
        <v>1932</v>
      </c>
      <c r="J441" t="s">
        <v>2101</v>
      </c>
      <c r="U441" t="s">
        <v>691</v>
      </c>
    </row>
    <row r="442" spans="1:32" hidden="1" x14ac:dyDescent="0.25">
      <c r="A442">
        <v>327</v>
      </c>
      <c r="C442" t="s">
        <v>521</v>
      </c>
      <c r="D442" t="s">
        <v>118</v>
      </c>
      <c r="E442" t="s">
        <v>611</v>
      </c>
      <c r="F442">
        <v>3158.4110000000001</v>
      </c>
      <c r="G442">
        <v>3167.93</v>
      </c>
      <c r="H442" s="3" t="s">
        <v>784</v>
      </c>
      <c r="I442" t="s">
        <v>1932</v>
      </c>
      <c r="J442" t="s">
        <v>2101</v>
      </c>
      <c r="U442" t="s">
        <v>785</v>
      </c>
    </row>
    <row r="443" spans="1:32" hidden="1" x14ac:dyDescent="0.25">
      <c r="A443">
        <v>328</v>
      </c>
      <c r="C443" t="s">
        <v>521</v>
      </c>
      <c r="D443" t="s">
        <v>118</v>
      </c>
      <c r="E443" t="s">
        <v>614</v>
      </c>
      <c r="F443">
        <v>3169.502</v>
      </c>
      <c r="G443">
        <v>3180.9679999999998</v>
      </c>
      <c r="H443" s="3" t="s">
        <v>786</v>
      </c>
      <c r="I443" t="s">
        <v>1932</v>
      </c>
      <c r="J443" t="s">
        <v>1957</v>
      </c>
      <c r="U443" t="s">
        <v>787</v>
      </c>
    </row>
    <row r="444" spans="1:32" hidden="1" x14ac:dyDescent="0.25">
      <c r="A444">
        <v>285</v>
      </c>
      <c r="C444" t="s">
        <v>521</v>
      </c>
      <c r="D444" t="s">
        <v>19</v>
      </c>
      <c r="E444" t="s">
        <v>692</v>
      </c>
      <c r="F444">
        <v>3191.692</v>
      </c>
      <c r="G444">
        <v>3201.2379999999998</v>
      </c>
      <c r="H444" s="3" t="s">
        <v>693</v>
      </c>
      <c r="I444" t="s">
        <v>1932</v>
      </c>
      <c r="J444" t="s">
        <v>2042</v>
      </c>
      <c r="U444" t="s">
        <v>694</v>
      </c>
    </row>
    <row r="445" spans="1:32" hidden="1" x14ac:dyDescent="0.25">
      <c r="A445">
        <v>329</v>
      </c>
      <c r="C445" t="s">
        <v>521</v>
      </c>
      <c r="D445" t="s">
        <v>118</v>
      </c>
      <c r="E445" t="s">
        <v>617</v>
      </c>
      <c r="F445">
        <v>3203.2379999999998</v>
      </c>
      <c r="G445">
        <v>3214.8739999999998</v>
      </c>
      <c r="H445" s="3" t="s">
        <v>788</v>
      </c>
      <c r="I445" t="s">
        <v>1932</v>
      </c>
      <c r="J445" t="s">
        <v>2101</v>
      </c>
      <c r="K445">
        <v>286</v>
      </c>
      <c r="U445" t="s">
        <v>789</v>
      </c>
    </row>
    <row r="446" spans="1:32" hidden="1" x14ac:dyDescent="0.25">
      <c r="A446">
        <v>287</v>
      </c>
      <c r="C446" t="s">
        <v>521</v>
      </c>
      <c r="D446" t="s">
        <v>19</v>
      </c>
      <c r="E446" t="s">
        <v>698</v>
      </c>
      <c r="F446">
        <v>3213.5329999999999</v>
      </c>
      <c r="G446">
        <v>3222.105</v>
      </c>
      <c r="H446" s="3" t="s">
        <v>699</v>
      </c>
      <c r="I446" t="s">
        <v>1932</v>
      </c>
      <c r="J446" t="s">
        <v>1957</v>
      </c>
      <c r="K446" t="s">
        <v>2207</v>
      </c>
      <c r="U446" t="s">
        <v>700</v>
      </c>
    </row>
    <row r="447" spans="1:32" hidden="1" x14ac:dyDescent="0.25">
      <c r="A447">
        <v>288</v>
      </c>
      <c r="C447" t="s">
        <v>521</v>
      </c>
      <c r="D447" t="s">
        <v>19</v>
      </c>
      <c r="E447" t="s">
        <v>701</v>
      </c>
      <c r="F447">
        <v>3216.3449999999998</v>
      </c>
      <c r="G447">
        <v>3228.6950000000002</v>
      </c>
      <c r="H447" s="3" t="s">
        <v>702</v>
      </c>
      <c r="I447" t="s">
        <v>1932</v>
      </c>
      <c r="J447" t="s">
        <v>1954</v>
      </c>
      <c r="K447" t="s">
        <v>2206</v>
      </c>
      <c r="U447" t="s">
        <v>703</v>
      </c>
    </row>
    <row r="448" spans="1:32" hidden="1" x14ac:dyDescent="0.25">
      <c r="A448">
        <v>347</v>
      </c>
      <c r="C448" t="s">
        <v>521</v>
      </c>
      <c r="D448" t="s">
        <v>47</v>
      </c>
      <c r="E448" t="s">
        <v>103</v>
      </c>
      <c r="F448">
        <v>3221.203</v>
      </c>
      <c r="G448">
        <v>3229.8130000000001</v>
      </c>
      <c r="H448" s="3" t="s">
        <v>822</v>
      </c>
      <c r="I448" t="s">
        <v>1932</v>
      </c>
      <c r="J448" t="s">
        <v>2101</v>
      </c>
      <c r="K448" t="s">
        <v>2205</v>
      </c>
      <c r="U448" t="s">
        <v>823</v>
      </c>
    </row>
    <row r="449" spans="1:31" hidden="1" x14ac:dyDescent="0.25">
      <c r="A449">
        <v>330</v>
      </c>
      <c r="C449" t="s">
        <v>521</v>
      </c>
      <c r="D449" t="s">
        <v>118</v>
      </c>
      <c r="E449" t="s">
        <v>620</v>
      </c>
      <c r="F449">
        <v>3222.1640000000002</v>
      </c>
      <c r="G449">
        <v>3233.9549999999999</v>
      </c>
      <c r="H449" s="3" t="s">
        <v>790</v>
      </c>
      <c r="I449" t="s">
        <v>1932</v>
      </c>
      <c r="J449" t="s">
        <v>2101</v>
      </c>
      <c r="K449" t="s">
        <v>2204</v>
      </c>
      <c r="U449" t="s">
        <v>791</v>
      </c>
    </row>
    <row r="450" spans="1:31" hidden="1" x14ac:dyDescent="0.25">
      <c r="A450">
        <v>331</v>
      </c>
      <c r="C450" t="s">
        <v>521</v>
      </c>
      <c r="D450" t="s">
        <v>118</v>
      </c>
      <c r="E450" t="s">
        <v>623</v>
      </c>
      <c r="F450">
        <v>3247.0749999999998</v>
      </c>
      <c r="G450">
        <v>3256.5720000000001</v>
      </c>
      <c r="H450" s="3" t="s">
        <v>792</v>
      </c>
      <c r="I450" t="s">
        <v>1932</v>
      </c>
      <c r="J450" t="s">
        <v>1949</v>
      </c>
      <c r="K450" t="s">
        <v>2210</v>
      </c>
      <c r="U450" t="s">
        <v>793</v>
      </c>
    </row>
    <row r="451" spans="1:31" hidden="1" x14ac:dyDescent="0.25">
      <c r="A451">
        <v>290</v>
      </c>
      <c r="C451" t="s">
        <v>521</v>
      </c>
      <c r="D451" t="s">
        <v>19</v>
      </c>
      <c r="E451" t="s">
        <v>707</v>
      </c>
      <c r="F451">
        <v>3251.1930000000002</v>
      </c>
      <c r="G451">
        <v>3264.0749999999998</v>
      </c>
      <c r="H451" t="s">
        <v>708</v>
      </c>
      <c r="I451" t="s">
        <v>1932</v>
      </c>
      <c r="J451" t="s">
        <v>2101</v>
      </c>
      <c r="K451" t="s">
        <v>2209</v>
      </c>
      <c r="U451" t="s">
        <v>709</v>
      </c>
    </row>
    <row r="452" spans="1:31" hidden="1" x14ac:dyDescent="0.25">
      <c r="A452">
        <v>348</v>
      </c>
      <c r="C452" t="s">
        <v>521</v>
      </c>
      <c r="D452" t="s">
        <v>47</v>
      </c>
      <c r="E452" t="s">
        <v>106</v>
      </c>
      <c r="F452">
        <v>3251.1930000000002</v>
      </c>
      <c r="G452">
        <v>3264.0749999999998</v>
      </c>
      <c r="H452" t="s">
        <v>824</v>
      </c>
      <c r="I452" t="s">
        <v>1932</v>
      </c>
      <c r="J452" t="s">
        <v>2101</v>
      </c>
      <c r="K452" t="s">
        <v>2211</v>
      </c>
      <c r="U452" t="s">
        <v>709</v>
      </c>
    </row>
    <row r="453" spans="1:31" hidden="1" x14ac:dyDescent="0.25">
      <c r="A453">
        <v>401</v>
      </c>
      <c r="C453" t="s">
        <v>900</v>
      </c>
      <c r="D453" t="s">
        <v>118</v>
      </c>
      <c r="E453" t="s">
        <v>20</v>
      </c>
      <c r="F453">
        <v>98.438000000000002</v>
      </c>
      <c r="G453">
        <v>110.63200000000001</v>
      </c>
      <c r="H453" s="3" t="s">
        <v>933</v>
      </c>
      <c r="I453" t="s">
        <v>1932</v>
      </c>
      <c r="J453" t="s">
        <v>2101</v>
      </c>
      <c r="K453" t="s">
        <v>1958</v>
      </c>
      <c r="U453" t="s">
        <v>934</v>
      </c>
    </row>
    <row r="454" spans="1:31" hidden="1" x14ac:dyDescent="0.25">
      <c r="A454">
        <v>402</v>
      </c>
      <c r="C454" t="s">
        <v>900</v>
      </c>
      <c r="D454" t="s">
        <v>118</v>
      </c>
      <c r="E454" t="s">
        <v>23</v>
      </c>
      <c r="F454">
        <v>103.107</v>
      </c>
      <c r="G454">
        <v>112.691</v>
      </c>
      <c r="H454" s="3" t="s">
        <v>935</v>
      </c>
      <c r="I454" t="s">
        <v>1932</v>
      </c>
      <c r="J454" t="s">
        <v>2101</v>
      </c>
      <c r="K454" t="s">
        <v>1959</v>
      </c>
      <c r="U454" t="s">
        <v>936</v>
      </c>
    </row>
    <row r="455" spans="1:31" hidden="1" x14ac:dyDescent="0.25">
      <c r="A455">
        <v>403</v>
      </c>
      <c r="C455" t="s">
        <v>900</v>
      </c>
      <c r="D455" t="s">
        <v>118</v>
      </c>
      <c r="E455" t="s">
        <v>26</v>
      </c>
      <c r="F455">
        <v>104.773</v>
      </c>
      <c r="G455">
        <v>116.322</v>
      </c>
      <c r="H455" s="3" t="s">
        <v>937</v>
      </c>
      <c r="I455" t="s">
        <v>1932</v>
      </c>
      <c r="J455" t="s">
        <v>2101</v>
      </c>
      <c r="K455" t="s">
        <v>1960</v>
      </c>
      <c r="U455" t="s">
        <v>938</v>
      </c>
    </row>
    <row r="456" spans="1:31" hidden="1" x14ac:dyDescent="0.25">
      <c r="A456">
        <v>179</v>
      </c>
      <c r="B456" t="s">
        <v>2281</v>
      </c>
      <c r="C456" t="s">
        <v>424</v>
      </c>
      <c r="D456" t="s">
        <v>19</v>
      </c>
      <c r="E456" t="s">
        <v>26</v>
      </c>
      <c r="F456">
        <v>1314.838</v>
      </c>
      <c r="G456">
        <v>1327.0920000000001</v>
      </c>
      <c r="H456" s="3" t="s">
        <v>430</v>
      </c>
      <c r="I456" t="s">
        <v>1934</v>
      </c>
      <c r="L456" t="s">
        <v>1932</v>
      </c>
      <c r="M456" t="s">
        <v>1932</v>
      </c>
      <c r="N456" t="s">
        <v>1932</v>
      </c>
      <c r="O456" t="s">
        <v>1936</v>
      </c>
      <c r="P456" t="s">
        <v>2095</v>
      </c>
      <c r="Q456">
        <v>4</v>
      </c>
      <c r="T456" t="s">
        <v>2104</v>
      </c>
      <c r="U456" t="s">
        <v>431</v>
      </c>
      <c r="W456" t="s">
        <v>1934</v>
      </c>
      <c r="X456">
        <v>1</v>
      </c>
      <c r="AA456">
        <v>1</v>
      </c>
      <c r="AD456">
        <v>2</v>
      </c>
      <c r="AE456" t="s">
        <v>2336</v>
      </c>
    </row>
    <row r="457" spans="1:31" hidden="1" x14ac:dyDescent="0.25">
      <c r="A457">
        <v>422</v>
      </c>
      <c r="C457" t="s">
        <v>900</v>
      </c>
      <c r="D457" t="s">
        <v>47</v>
      </c>
      <c r="E457" t="s">
        <v>26</v>
      </c>
      <c r="F457">
        <v>145.87799999999999</v>
      </c>
      <c r="G457">
        <v>154.52099999999999</v>
      </c>
      <c r="H457" s="3" t="s">
        <v>975</v>
      </c>
      <c r="I457" t="s">
        <v>1932</v>
      </c>
      <c r="J457" t="s">
        <v>2101</v>
      </c>
      <c r="K457">
        <v>405</v>
      </c>
      <c r="L457" t="s">
        <v>1932</v>
      </c>
      <c r="M457" t="s">
        <v>1934</v>
      </c>
      <c r="N457" t="s">
        <v>1932</v>
      </c>
      <c r="O457" t="s">
        <v>1936</v>
      </c>
      <c r="P457" t="s">
        <v>1937</v>
      </c>
      <c r="Q457">
        <v>2</v>
      </c>
      <c r="T457" t="s">
        <v>1986</v>
      </c>
      <c r="U457" t="s">
        <v>976</v>
      </c>
    </row>
    <row r="458" spans="1:31" hidden="1" x14ac:dyDescent="0.25">
      <c r="A458">
        <v>405</v>
      </c>
      <c r="C458" t="s">
        <v>900</v>
      </c>
      <c r="D458" t="s">
        <v>118</v>
      </c>
      <c r="E458" t="s">
        <v>32</v>
      </c>
      <c r="F458">
        <v>152.489</v>
      </c>
      <c r="G458">
        <v>162.67500000000001</v>
      </c>
      <c r="H458" s="3" t="s">
        <v>941</v>
      </c>
      <c r="I458" t="s">
        <v>1932</v>
      </c>
      <c r="J458" t="s">
        <v>2101</v>
      </c>
      <c r="K458">
        <v>422</v>
      </c>
      <c r="L458" t="s">
        <v>1932</v>
      </c>
      <c r="M458" t="s">
        <v>1934</v>
      </c>
      <c r="N458" t="s">
        <v>1932</v>
      </c>
      <c r="O458" t="s">
        <v>1936</v>
      </c>
      <c r="P458" t="s">
        <v>1937</v>
      </c>
      <c r="T458" t="s">
        <v>1988</v>
      </c>
      <c r="U458" t="s">
        <v>942</v>
      </c>
    </row>
    <row r="459" spans="1:31" hidden="1" x14ac:dyDescent="0.25">
      <c r="A459">
        <v>423</v>
      </c>
      <c r="C459" t="s">
        <v>900</v>
      </c>
      <c r="D459" t="s">
        <v>47</v>
      </c>
      <c r="E459" t="s">
        <v>29</v>
      </c>
      <c r="F459">
        <v>237.57300000000001</v>
      </c>
      <c r="G459">
        <v>246.33699999999999</v>
      </c>
      <c r="H459" s="3" t="s">
        <v>977</v>
      </c>
      <c r="I459" t="s">
        <v>1932</v>
      </c>
      <c r="J459" t="s">
        <v>2101</v>
      </c>
      <c r="U459" t="s">
        <v>978</v>
      </c>
    </row>
    <row r="460" spans="1:31" hidden="1" x14ac:dyDescent="0.25">
      <c r="A460">
        <v>408</v>
      </c>
      <c r="C460" t="s">
        <v>900</v>
      </c>
      <c r="D460" t="s">
        <v>118</v>
      </c>
      <c r="E460" t="s">
        <v>41</v>
      </c>
      <c r="F460">
        <v>241.70500000000001</v>
      </c>
      <c r="G460">
        <v>250.29599999999999</v>
      </c>
      <c r="H460" s="3" t="s">
        <v>947</v>
      </c>
      <c r="I460" t="s">
        <v>1932</v>
      </c>
      <c r="J460" t="s">
        <v>2101</v>
      </c>
      <c r="K460">
        <v>386</v>
      </c>
      <c r="U460" t="s">
        <v>948</v>
      </c>
    </row>
    <row r="461" spans="1:31" hidden="1" x14ac:dyDescent="0.25">
      <c r="A461">
        <v>386</v>
      </c>
      <c r="C461" t="s">
        <v>900</v>
      </c>
      <c r="D461" t="s">
        <v>19</v>
      </c>
      <c r="E461" t="s">
        <v>23</v>
      </c>
      <c r="F461">
        <v>243.821</v>
      </c>
      <c r="G461">
        <v>253.749</v>
      </c>
      <c r="H461" s="3" t="s">
        <v>903</v>
      </c>
      <c r="I461" t="s">
        <v>1932</v>
      </c>
      <c r="J461" t="s">
        <v>2101</v>
      </c>
      <c r="K461">
        <v>408</v>
      </c>
      <c r="U461" t="s">
        <v>904</v>
      </c>
    </row>
    <row r="462" spans="1:31" hidden="1" x14ac:dyDescent="0.25">
      <c r="A462">
        <v>424</v>
      </c>
      <c r="C462" t="s">
        <v>900</v>
      </c>
      <c r="D462" t="s">
        <v>47</v>
      </c>
      <c r="E462" t="s">
        <v>32</v>
      </c>
      <c r="F462">
        <v>296.48200000000003</v>
      </c>
      <c r="G462">
        <v>308.02600000000001</v>
      </c>
      <c r="H462" s="3" t="s">
        <v>979</v>
      </c>
      <c r="I462" t="s">
        <v>1932</v>
      </c>
      <c r="J462" t="s">
        <v>1957</v>
      </c>
      <c r="U462" t="s">
        <v>980</v>
      </c>
    </row>
    <row r="463" spans="1:31" hidden="1" x14ac:dyDescent="0.25">
      <c r="A463">
        <v>187</v>
      </c>
      <c r="B463" t="s">
        <v>2282</v>
      </c>
      <c r="C463" t="s">
        <v>424</v>
      </c>
      <c r="D463" t="s">
        <v>47</v>
      </c>
      <c r="E463" t="s">
        <v>23</v>
      </c>
      <c r="F463">
        <v>938.57299999999998</v>
      </c>
      <c r="G463">
        <v>949.03899999999999</v>
      </c>
      <c r="H463" s="3" t="s">
        <v>446</v>
      </c>
      <c r="I463" t="s">
        <v>1934</v>
      </c>
      <c r="P463" t="s">
        <v>2095</v>
      </c>
      <c r="Q463">
        <v>4</v>
      </c>
      <c r="T463" t="s">
        <v>2107</v>
      </c>
      <c r="U463" t="s">
        <v>447</v>
      </c>
      <c r="V463" t="s">
        <v>448</v>
      </c>
      <c r="W463" t="s">
        <v>2372</v>
      </c>
      <c r="X463">
        <v>1</v>
      </c>
      <c r="AA463">
        <v>1</v>
      </c>
      <c r="AD463">
        <v>1</v>
      </c>
    </row>
    <row r="464" spans="1:31" hidden="1" x14ac:dyDescent="0.25">
      <c r="A464">
        <v>404</v>
      </c>
      <c r="C464" t="s">
        <v>900</v>
      </c>
      <c r="D464" t="s">
        <v>118</v>
      </c>
      <c r="E464" t="s">
        <v>29</v>
      </c>
      <c r="F464">
        <v>123.57899999999999</v>
      </c>
      <c r="G464">
        <v>136.08199999999999</v>
      </c>
      <c r="H464" s="3" t="s">
        <v>939</v>
      </c>
      <c r="I464" t="s">
        <v>1932</v>
      </c>
      <c r="J464" t="s">
        <v>1939</v>
      </c>
      <c r="U464" t="s">
        <v>940</v>
      </c>
    </row>
    <row r="465" spans="1:21" hidden="1" x14ac:dyDescent="0.25">
      <c r="A465">
        <v>385</v>
      </c>
      <c r="C465" t="s">
        <v>900</v>
      </c>
      <c r="D465" t="s">
        <v>19</v>
      </c>
      <c r="E465" t="s">
        <v>20</v>
      </c>
      <c r="F465">
        <v>165.142</v>
      </c>
      <c r="G465">
        <v>174.012</v>
      </c>
      <c r="H465" s="3" t="s">
        <v>901</v>
      </c>
      <c r="I465" t="s">
        <v>1932</v>
      </c>
      <c r="J465" t="s">
        <v>1940</v>
      </c>
      <c r="U465" t="s">
        <v>902</v>
      </c>
    </row>
    <row r="466" spans="1:21" hidden="1" x14ac:dyDescent="0.25">
      <c r="A466">
        <v>406</v>
      </c>
      <c r="C466" t="s">
        <v>900</v>
      </c>
      <c r="D466" t="s">
        <v>118</v>
      </c>
      <c r="E466" t="s">
        <v>35</v>
      </c>
      <c r="F466">
        <v>216.673</v>
      </c>
      <c r="G466">
        <v>227.18600000000001</v>
      </c>
      <c r="H466" s="3" t="s">
        <v>943</v>
      </c>
      <c r="I466" t="s">
        <v>1932</v>
      </c>
      <c r="J466" t="s">
        <v>1954</v>
      </c>
      <c r="U466" t="s">
        <v>944</v>
      </c>
    </row>
    <row r="467" spans="1:21" hidden="1" x14ac:dyDescent="0.25">
      <c r="A467">
        <v>407</v>
      </c>
      <c r="C467" t="s">
        <v>900</v>
      </c>
      <c r="D467" t="s">
        <v>118</v>
      </c>
      <c r="E467" t="s">
        <v>38</v>
      </c>
      <c r="F467">
        <v>229.57900000000001</v>
      </c>
      <c r="G467">
        <v>238.982</v>
      </c>
      <c r="H467" t="s">
        <v>945</v>
      </c>
      <c r="I467" t="s">
        <v>1932</v>
      </c>
      <c r="J467" t="s">
        <v>1957</v>
      </c>
      <c r="U467" t="s">
        <v>946</v>
      </c>
    </row>
    <row r="468" spans="1:21" hidden="1" x14ac:dyDescent="0.25">
      <c r="A468">
        <v>409</v>
      </c>
      <c r="C468" t="s">
        <v>900</v>
      </c>
      <c r="D468" t="s">
        <v>118</v>
      </c>
      <c r="E468" t="s">
        <v>44</v>
      </c>
      <c r="F468">
        <v>260.90199999999999</v>
      </c>
      <c r="G468">
        <v>269.47800000000001</v>
      </c>
      <c r="H468" t="s">
        <v>949</v>
      </c>
      <c r="I468" t="s">
        <v>1932</v>
      </c>
      <c r="J468" t="s">
        <v>1957</v>
      </c>
      <c r="U468" t="s">
        <v>950</v>
      </c>
    </row>
    <row r="469" spans="1:21" hidden="1" x14ac:dyDescent="0.25">
      <c r="A469">
        <v>387</v>
      </c>
      <c r="C469" t="s">
        <v>900</v>
      </c>
      <c r="D469" t="s">
        <v>19</v>
      </c>
      <c r="E469" t="s">
        <v>26</v>
      </c>
      <c r="F469">
        <v>266.59500000000003</v>
      </c>
      <c r="G469">
        <v>275.58199999999999</v>
      </c>
      <c r="H469" s="3" t="s">
        <v>905</v>
      </c>
      <c r="I469" t="s">
        <v>1932</v>
      </c>
      <c r="J469" t="s">
        <v>1940</v>
      </c>
      <c r="U469" t="s">
        <v>906</v>
      </c>
    </row>
    <row r="470" spans="1:21" hidden="1" x14ac:dyDescent="0.25">
      <c r="A470">
        <v>388</v>
      </c>
      <c r="C470" t="s">
        <v>900</v>
      </c>
      <c r="D470" t="s">
        <v>19</v>
      </c>
      <c r="E470" t="s">
        <v>29</v>
      </c>
      <c r="F470">
        <v>329.24400000000003</v>
      </c>
      <c r="G470">
        <v>339.71100000000001</v>
      </c>
      <c r="H470" s="3" t="s">
        <v>907</v>
      </c>
      <c r="I470" t="s">
        <v>1932</v>
      </c>
      <c r="J470" t="s">
        <v>1940</v>
      </c>
      <c r="U470" t="s">
        <v>908</v>
      </c>
    </row>
    <row r="471" spans="1:21" hidden="1" x14ac:dyDescent="0.25">
      <c r="A471">
        <v>410</v>
      </c>
      <c r="C471" t="s">
        <v>900</v>
      </c>
      <c r="D471" t="s">
        <v>118</v>
      </c>
      <c r="E471" t="s">
        <v>85</v>
      </c>
      <c r="F471">
        <v>381.70699999999999</v>
      </c>
      <c r="G471">
        <v>390.56299999999999</v>
      </c>
      <c r="H471" s="3" t="s">
        <v>951</v>
      </c>
      <c r="I471" t="s">
        <v>1932</v>
      </c>
      <c r="J471" t="s">
        <v>1948</v>
      </c>
      <c r="U471" t="s">
        <v>952</v>
      </c>
    </row>
    <row r="472" spans="1:21" hidden="1" x14ac:dyDescent="0.25">
      <c r="A472">
        <v>425</v>
      </c>
      <c r="C472" t="s">
        <v>900</v>
      </c>
      <c r="D472" t="s">
        <v>47</v>
      </c>
      <c r="E472" t="s">
        <v>35</v>
      </c>
      <c r="F472">
        <v>384.92700000000002</v>
      </c>
      <c r="G472">
        <v>394.55</v>
      </c>
      <c r="H472" s="3" t="s">
        <v>981</v>
      </c>
      <c r="I472" t="s">
        <v>1932</v>
      </c>
      <c r="J472" t="s">
        <v>1948</v>
      </c>
      <c r="U472" t="s">
        <v>982</v>
      </c>
    </row>
    <row r="473" spans="1:21" hidden="1" x14ac:dyDescent="0.25">
      <c r="A473">
        <v>389</v>
      </c>
      <c r="C473" t="s">
        <v>900</v>
      </c>
      <c r="D473" t="s">
        <v>19</v>
      </c>
      <c r="E473" t="s">
        <v>32</v>
      </c>
      <c r="F473">
        <v>493.79300000000001</v>
      </c>
      <c r="G473">
        <v>504.44400000000002</v>
      </c>
      <c r="H473" s="3" t="s">
        <v>909</v>
      </c>
      <c r="I473" t="s">
        <v>1932</v>
      </c>
      <c r="J473" t="s">
        <v>1952</v>
      </c>
      <c r="U473" t="s">
        <v>910</v>
      </c>
    </row>
    <row r="474" spans="1:21" hidden="1" x14ac:dyDescent="0.25">
      <c r="A474">
        <v>390</v>
      </c>
      <c r="C474" t="s">
        <v>900</v>
      </c>
      <c r="D474" t="s">
        <v>19</v>
      </c>
      <c r="E474" t="s">
        <v>35</v>
      </c>
      <c r="F474">
        <v>557.62800000000004</v>
      </c>
      <c r="G474">
        <v>567.03700000000003</v>
      </c>
      <c r="H474" s="3" t="s">
        <v>911</v>
      </c>
      <c r="I474" t="s">
        <v>1932</v>
      </c>
      <c r="U474" t="s">
        <v>912</v>
      </c>
    </row>
    <row r="475" spans="1:21" hidden="1" x14ac:dyDescent="0.25">
      <c r="A475">
        <v>411</v>
      </c>
      <c r="C475" t="s">
        <v>900</v>
      </c>
      <c r="D475" t="s">
        <v>118</v>
      </c>
      <c r="E475" t="s">
        <v>88</v>
      </c>
      <c r="F475">
        <v>595.52599999999995</v>
      </c>
      <c r="G475">
        <v>604.81100000000004</v>
      </c>
      <c r="H475" s="3" t="s">
        <v>953</v>
      </c>
      <c r="I475" t="s">
        <v>1932</v>
      </c>
      <c r="J475" t="s">
        <v>2101</v>
      </c>
      <c r="U475" t="s">
        <v>954</v>
      </c>
    </row>
    <row r="476" spans="1:21" hidden="1" x14ac:dyDescent="0.25">
      <c r="A476">
        <v>412</v>
      </c>
      <c r="C476" t="s">
        <v>900</v>
      </c>
      <c r="D476" t="s">
        <v>118</v>
      </c>
      <c r="E476" t="s">
        <v>91</v>
      </c>
      <c r="F476">
        <v>884.10900000000004</v>
      </c>
      <c r="G476">
        <v>893.26700000000005</v>
      </c>
      <c r="H476" s="3" t="s">
        <v>955</v>
      </c>
      <c r="I476" t="s">
        <v>1932</v>
      </c>
      <c r="J476" t="s">
        <v>1951</v>
      </c>
      <c r="U476" t="s">
        <v>956</v>
      </c>
    </row>
    <row r="477" spans="1:21" hidden="1" x14ac:dyDescent="0.25">
      <c r="A477">
        <v>427</v>
      </c>
      <c r="C477" t="s">
        <v>900</v>
      </c>
      <c r="D477" t="s">
        <v>47</v>
      </c>
      <c r="E477" t="s">
        <v>41</v>
      </c>
      <c r="F477">
        <v>903.55799999999999</v>
      </c>
      <c r="G477">
        <v>913.15499999999997</v>
      </c>
      <c r="H477" s="3" t="s">
        <v>985</v>
      </c>
      <c r="I477" t="s">
        <v>1932</v>
      </c>
      <c r="J477" t="s">
        <v>2106</v>
      </c>
      <c r="U477" t="s">
        <v>986</v>
      </c>
    </row>
    <row r="478" spans="1:21" hidden="1" x14ac:dyDescent="0.25">
      <c r="A478">
        <v>428</v>
      </c>
      <c r="C478" t="s">
        <v>900</v>
      </c>
      <c r="D478" t="s">
        <v>47</v>
      </c>
      <c r="E478" t="s">
        <v>44</v>
      </c>
      <c r="F478">
        <v>921.68</v>
      </c>
      <c r="G478">
        <v>931.27099999999996</v>
      </c>
      <c r="H478" s="3" t="s">
        <v>987</v>
      </c>
      <c r="I478" t="s">
        <v>1932</v>
      </c>
      <c r="J478" t="s">
        <v>1954</v>
      </c>
      <c r="U478" t="s">
        <v>988</v>
      </c>
    </row>
    <row r="479" spans="1:21" hidden="1" x14ac:dyDescent="0.25">
      <c r="A479">
        <v>413</v>
      </c>
      <c r="C479" t="s">
        <v>900</v>
      </c>
      <c r="D479" t="s">
        <v>118</v>
      </c>
      <c r="E479" t="s">
        <v>94</v>
      </c>
      <c r="F479">
        <v>961.37900000000002</v>
      </c>
      <c r="G479">
        <v>970.74699999999996</v>
      </c>
      <c r="H479" s="3" t="s">
        <v>957</v>
      </c>
      <c r="I479" t="s">
        <v>1932</v>
      </c>
      <c r="J479" t="s">
        <v>1947</v>
      </c>
      <c r="U479" t="s">
        <v>958</v>
      </c>
    </row>
    <row r="480" spans="1:21" hidden="1" x14ac:dyDescent="0.25">
      <c r="A480">
        <v>429</v>
      </c>
      <c r="C480" t="s">
        <v>900</v>
      </c>
      <c r="D480" t="s">
        <v>47</v>
      </c>
      <c r="E480" t="s">
        <v>85</v>
      </c>
      <c r="F480">
        <v>965.36599999999999</v>
      </c>
      <c r="G480">
        <v>976.73599999999999</v>
      </c>
      <c r="H480" s="3" t="s">
        <v>989</v>
      </c>
      <c r="I480" t="s">
        <v>1932</v>
      </c>
      <c r="J480" t="s">
        <v>1947</v>
      </c>
      <c r="U480" t="s">
        <v>990</v>
      </c>
    </row>
    <row r="481" spans="1:21" hidden="1" x14ac:dyDescent="0.25">
      <c r="A481">
        <v>430</v>
      </c>
      <c r="C481" t="s">
        <v>900</v>
      </c>
      <c r="D481" t="s">
        <v>47</v>
      </c>
      <c r="E481" t="s">
        <v>88</v>
      </c>
      <c r="F481">
        <v>1016.107</v>
      </c>
      <c r="G481">
        <v>1024.877</v>
      </c>
      <c r="H481" s="3" t="s">
        <v>991</v>
      </c>
      <c r="I481" t="s">
        <v>1932</v>
      </c>
      <c r="J481" t="s">
        <v>1948</v>
      </c>
      <c r="U481" t="s">
        <v>992</v>
      </c>
    </row>
    <row r="482" spans="1:21" hidden="1" x14ac:dyDescent="0.25">
      <c r="A482">
        <v>431</v>
      </c>
      <c r="C482" t="s">
        <v>900</v>
      </c>
      <c r="D482" t="s">
        <v>47</v>
      </c>
      <c r="E482" t="s">
        <v>91</v>
      </c>
      <c r="F482">
        <v>1064.7809999999999</v>
      </c>
      <c r="G482">
        <v>1073.73</v>
      </c>
      <c r="H482" s="3" t="s">
        <v>993</v>
      </c>
      <c r="I482" t="s">
        <v>1932</v>
      </c>
      <c r="J482" t="s">
        <v>1948</v>
      </c>
      <c r="U482" t="s">
        <v>994</v>
      </c>
    </row>
    <row r="483" spans="1:21" hidden="1" x14ac:dyDescent="0.25">
      <c r="A483">
        <v>432</v>
      </c>
      <c r="C483" t="s">
        <v>900</v>
      </c>
      <c r="D483" t="s">
        <v>47</v>
      </c>
      <c r="E483" t="s">
        <v>94</v>
      </c>
      <c r="F483">
        <v>1107.597</v>
      </c>
      <c r="G483">
        <v>1117.4580000000001</v>
      </c>
      <c r="H483" s="3" t="s">
        <v>995</v>
      </c>
      <c r="I483" t="s">
        <v>1932</v>
      </c>
      <c r="J483" t="s">
        <v>1957</v>
      </c>
      <c r="U483" t="s">
        <v>996</v>
      </c>
    </row>
    <row r="484" spans="1:21" hidden="1" x14ac:dyDescent="0.25">
      <c r="A484">
        <v>391</v>
      </c>
      <c r="C484" t="s">
        <v>900</v>
      </c>
      <c r="D484" t="s">
        <v>19</v>
      </c>
      <c r="E484" t="s">
        <v>38</v>
      </c>
      <c r="F484">
        <v>1119.3989999999999</v>
      </c>
      <c r="G484">
        <v>1129.4829999999999</v>
      </c>
      <c r="H484" s="3" t="s">
        <v>913</v>
      </c>
      <c r="I484" t="s">
        <v>1932</v>
      </c>
      <c r="J484" t="s">
        <v>1957</v>
      </c>
      <c r="U484" t="s">
        <v>914</v>
      </c>
    </row>
    <row r="485" spans="1:21" hidden="1" x14ac:dyDescent="0.25">
      <c r="A485">
        <v>414</v>
      </c>
      <c r="C485" t="s">
        <v>900</v>
      </c>
      <c r="D485" t="s">
        <v>118</v>
      </c>
      <c r="E485" t="s">
        <v>97</v>
      </c>
      <c r="F485">
        <v>1226.5640000000001</v>
      </c>
      <c r="G485">
        <v>1236.2260000000001</v>
      </c>
      <c r="H485" s="3" t="s">
        <v>959</v>
      </c>
      <c r="I485" t="s">
        <v>1932</v>
      </c>
      <c r="J485" t="s">
        <v>1954</v>
      </c>
      <c r="U485" t="s">
        <v>960</v>
      </c>
    </row>
    <row r="486" spans="1:21" hidden="1" x14ac:dyDescent="0.25">
      <c r="A486">
        <v>433</v>
      </c>
      <c r="C486" t="s">
        <v>900</v>
      </c>
      <c r="D486" t="s">
        <v>47</v>
      </c>
      <c r="E486" t="s">
        <v>97</v>
      </c>
      <c r="F486">
        <v>1324.075</v>
      </c>
      <c r="G486">
        <v>1332.932</v>
      </c>
      <c r="H486" s="3" t="s">
        <v>997</v>
      </c>
      <c r="I486" t="s">
        <v>1932</v>
      </c>
      <c r="J486" t="s">
        <v>1941</v>
      </c>
      <c r="U486" t="s">
        <v>998</v>
      </c>
    </row>
    <row r="487" spans="1:21" hidden="1" x14ac:dyDescent="0.25">
      <c r="A487">
        <v>435</v>
      </c>
      <c r="C487" t="s">
        <v>900</v>
      </c>
      <c r="D487" t="s">
        <v>47</v>
      </c>
      <c r="E487" t="s">
        <v>103</v>
      </c>
      <c r="F487">
        <v>1432.6679999999999</v>
      </c>
      <c r="G487">
        <v>1443.0160000000001</v>
      </c>
      <c r="H487" s="3" t="s">
        <v>1001</v>
      </c>
      <c r="I487" t="s">
        <v>1932</v>
      </c>
      <c r="J487" t="s">
        <v>2101</v>
      </c>
      <c r="U487" t="s">
        <v>1002</v>
      </c>
    </row>
    <row r="488" spans="1:21" hidden="1" x14ac:dyDescent="0.25">
      <c r="A488">
        <v>436</v>
      </c>
      <c r="C488" t="s">
        <v>900</v>
      </c>
      <c r="D488" t="s">
        <v>47</v>
      </c>
      <c r="E488" t="s">
        <v>106</v>
      </c>
      <c r="F488">
        <v>1526.778</v>
      </c>
      <c r="G488">
        <v>1535.72</v>
      </c>
      <c r="H488" s="3" t="s">
        <v>1003</v>
      </c>
      <c r="I488" t="s">
        <v>1932</v>
      </c>
      <c r="J488" t="s">
        <v>2101</v>
      </c>
      <c r="K488">
        <v>437</v>
      </c>
      <c r="U488" t="s">
        <v>1004</v>
      </c>
    </row>
    <row r="489" spans="1:21" hidden="1" x14ac:dyDescent="0.25">
      <c r="A489">
        <v>437</v>
      </c>
      <c r="C489" t="s">
        <v>900</v>
      </c>
      <c r="D489" t="s">
        <v>47</v>
      </c>
      <c r="E489" t="s">
        <v>109</v>
      </c>
      <c r="F489">
        <v>1527.8979999999999</v>
      </c>
      <c r="G489">
        <v>1537.934</v>
      </c>
      <c r="H489" s="3" t="s">
        <v>1005</v>
      </c>
      <c r="I489" t="s">
        <v>1932</v>
      </c>
      <c r="J489" t="s">
        <v>2101</v>
      </c>
      <c r="K489">
        <v>436</v>
      </c>
      <c r="U489" t="s">
        <v>1006</v>
      </c>
    </row>
    <row r="490" spans="1:21" hidden="1" x14ac:dyDescent="0.25">
      <c r="A490">
        <v>392</v>
      </c>
      <c r="C490" t="s">
        <v>900</v>
      </c>
      <c r="D490" t="s">
        <v>19</v>
      </c>
      <c r="E490" t="s">
        <v>41</v>
      </c>
      <c r="F490">
        <v>1637.923</v>
      </c>
      <c r="G490">
        <v>1649.059</v>
      </c>
      <c r="H490" s="3" t="s">
        <v>915</v>
      </c>
      <c r="I490" t="s">
        <v>1932</v>
      </c>
      <c r="J490" t="s">
        <v>2101</v>
      </c>
      <c r="K490">
        <v>438</v>
      </c>
      <c r="U490" t="s">
        <v>916</v>
      </c>
    </row>
    <row r="491" spans="1:21" hidden="1" x14ac:dyDescent="0.25">
      <c r="A491">
        <v>438</v>
      </c>
      <c r="C491" t="s">
        <v>900</v>
      </c>
      <c r="D491" t="s">
        <v>47</v>
      </c>
      <c r="E491" t="s">
        <v>112</v>
      </c>
      <c r="F491">
        <v>1637.923</v>
      </c>
      <c r="G491">
        <v>1649.059</v>
      </c>
      <c r="H491" s="3" t="s">
        <v>1007</v>
      </c>
      <c r="I491" t="s">
        <v>1932</v>
      </c>
      <c r="J491" t="s">
        <v>2101</v>
      </c>
      <c r="K491">
        <v>392</v>
      </c>
      <c r="U491" t="s">
        <v>916</v>
      </c>
    </row>
    <row r="492" spans="1:21" hidden="1" x14ac:dyDescent="0.25">
      <c r="A492">
        <v>415</v>
      </c>
      <c r="C492" t="s">
        <v>900</v>
      </c>
      <c r="D492" t="s">
        <v>118</v>
      </c>
      <c r="E492" t="s">
        <v>100</v>
      </c>
      <c r="F492">
        <v>1764.356</v>
      </c>
      <c r="G492">
        <v>1777.9480000000001</v>
      </c>
      <c r="H492" s="3" t="s">
        <v>961</v>
      </c>
      <c r="I492" t="s">
        <v>1932</v>
      </c>
      <c r="J492" t="s">
        <v>2125</v>
      </c>
      <c r="U492" t="s">
        <v>962</v>
      </c>
    </row>
    <row r="493" spans="1:21" hidden="1" x14ac:dyDescent="0.25">
      <c r="A493">
        <v>393</v>
      </c>
      <c r="C493" t="s">
        <v>900</v>
      </c>
      <c r="D493" t="s">
        <v>19</v>
      </c>
      <c r="E493" t="s">
        <v>44</v>
      </c>
      <c r="F493">
        <v>1888.92</v>
      </c>
      <c r="G493">
        <v>1898.6849999999999</v>
      </c>
      <c r="H493" s="3" t="s">
        <v>917</v>
      </c>
      <c r="I493" t="s">
        <v>1932</v>
      </c>
      <c r="J493" t="s">
        <v>1948</v>
      </c>
      <c r="U493" t="s">
        <v>918</v>
      </c>
    </row>
    <row r="494" spans="1:21" hidden="1" x14ac:dyDescent="0.25">
      <c r="A494">
        <v>441</v>
      </c>
      <c r="C494" t="s">
        <v>900</v>
      </c>
      <c r="D494" t="s">
        <v>47</v>
      </c>
      <c r="E494" t="s">
        <v>181</v>
      </c>
      <c r="F494">
        <v>1984.6469999999999</v>
      </c>
      <c r="G494">
        <v>1993.549</v>
      </c>
      <c r="H494" s="3" t="s">
        <v>1012</v>
      </c>
      <c r="I494" t="s">
        <v>1932</v>
      </c>
      <c r="J494" t="s">
        <v>1938</v>
      </c>
      <c r="U494" t="s">
        <v>1013</v>
      </c>
    </row>
    <row r="495" spans="1:21" hidden="1" x14ac:dyDescent="0.25">
      <c r="A495">
        <v>394</v>
      </c>
      <c r="C495" t="s">
        <v>900</v>
      </c>
      <c r="D495" t="s">
        <v>19</v>
      </c>
      <c r="E495" t="s">
        <v>85</v>
      </c>
      <c r="F495">
        <v>2038.5719999999999</v>
      </c>
      <c r="G495">
        <v>2051.143</v>
      </c>
      <c r="H495" s="3" t="s">
        <v>919</v>
      </c>
      <c r="I495" t="s">
        <v>1932</v>
      </c>
      <c r="J495" t="s">
        <v>2054</v>
      </c>
      <c r="U495" t="s">
        <v>920</v>
      </c>
    </row>
    <row r="496" spans="1:21" hidden="1" x14ac:dyDescent="0.25">
      <c r="A496">
        <v>443</v>
      </c>
      <c r="C496" t="s">
        <v>900</v>
      </c>
      <c r="D496" t="s">
        <v>47</v>
      </c>
      <c r="E496" t="s">
        <v>187</v>
      </c>
      <c r="F496">
        <v>2122.4769999999999</v>
      </c>
      <c r="G496">
        <v>2131.1410000000001</v>
      </c>
      <c r="H496" s="3" t="s">
        <v>1016</v>
      </c>
      <c r="I496" t="s">
        <v>1932</v>
      </c>
      <c r="J496" t="s">
        <v>1948</v>
      </c>
      <c r="U496" t="s">
        <v>1017</v>
      </c>
    </row>
    <row r="497" spans="1:32" hidden="1" x14ac:dyDescent="0.25">
      <c r="A497">
        <v>586</v>
      </c>
      <c r="C497" t="s">
        <v>1292</v>
      </c>
      <c r="D497" t="s">
        <v>47</v>
      </c>
      <c r="E497" t="s">
        <v>35</v>
      </c>
      <c r="F497">
        <v>3148.0160000000001</v>
      </c>
      <c r="G497">
        <v>3157.2190000000001</v>
      </c>
      <c r="H497" s="3" t="s">
        <v>1315</v>
      </c>
      <c r="I497" t="s">
        <v>1934</v>
      </c>
      <c r="J497" t="s">
        <v>2201</v>
      </c>
      <c r="L497" t="s">
        <v>1932</v>
      </c>
      <c r="M497" t="s">
        <v>1932</v>
      </c>
      <c r="N497" t="s">
        <v>1932</v>
      </c>
      <c r="O497" t="s">
        <v>1936</v>
      </c>
      <c r="P497" t="s">
        <v>1934</v>
      </c>
      <c r="Q497">
        <v>1</v>
      </c>
      <c r="T497" t="s">
        <v>2200</v>
      </c>
      <c r="U497" t="s">
        <v>1316</v>
      </c>
      <c r="V497" t="s">
        <v>1317</v>
      </c>
    </row>
    <row r="498" spans="1:32" hidden="1" x14ac:dyDescent="0.25">
      <c r="A498">
        <v>444</v>
      </c>
      <c r="C498" t="s">
        <v>900</v>
      </c>
      <c r="D498" t="s">
        <v>47</v>
      </c>
      <c r="E498" t="s">
        <v>190</v>
      </c>
      <c r="F498">
        <v>2184.6999999999998</v>
      </c>
      <c r="G498">
        <v>2195.0810000000001</v>
      </c>
      <c r="H498" s="3" t="s">
        <v>1018</v>
      </c>
      <c r="I498" t="s">
        <v>1932</v>
      </c>
      <c r="J498" t="s">
        <v>2125</v>
      </c>
      <c r="U498" t="s">
        <v>1019</v>
      </c>
    </row>
    <row r="499" spans="1:32" hidden="1" x14ac:dyDescent="0.25">
      <c r="A499">
        <v>592</v>
      </c>
      <c r="C499" t="s">
        <v>1327</v>
      </c>
      <c r="D499" t="s">
        <v>19</v>
      </c>
      <c r="E499" t="s">
        <v>23</v>
      </c>
      <c r="F499">
        <v>565.41</v>
      </c>
      <c r="G499">
        <v>575.56600000000003</v>
      </c>
      <c r="H499" s="3" t="s">
        <v>1331</v>
      </c>
      <c r="I499" t="s">
        <v>1934</v>
      </c>
      <c r="L499" t="s">
        <v>1932</v>
      </c>
      <c r="M499" t="s">
        <v>1932</v>
      </c>
      <c r="N499" t="s">
        <v>1932</v>
      </c>
      <c r="O499" t="s">
        <v>1936</v>
      </c>
      <c r="P499" t="s">
        <v>1934</v>
      </c>
      <c r="Q499">
        <v>1</v>
      </c>
      <c r="T499" t="s">
        <v>2068</v>
      </c>
      <c r="U499" t="s">
        <v>1332</v>
      </c>
      <c r="V499" t="s">
        <v>1330</v>
      </c>
    </row>
    <row r="500" spans="1:32" hidden="1" x14ac:dyDescent="0.25">
      <c r="A500">
        <v>395</v>
      </c>
      <c r="C500" t="s">
        <v>900</v>
      </c>
      <c r="D500" t="s">
        <v>19</v>
      </c>
      <c r="E500" t="s">
        <v>88</v>
      </c>
      <c r="F500">
        <v>2804.4589999999998</v>
      </c>
      <c r="G500">
        <v>2813.6579999999999</v>
      </c>
      <c r="H500" s="3" t="s">
        <v>921</v>
      </c>
      <c r="I500" t="s">
        <v>1932</v>
      </c>
      <c r="J500" t="s">
        <v>1957</v>
      </c>
      <c r="U500" t="s">
        <v>922</v>
      </c>
    </row>
    <row r="501" spans="1:32" hidden="1" x14ac:dyDescent="0.25">
      <c r="A501">
        <v>396</v>
      </c>
      <c r="C501" t="s">
        <v>900</v>
      </c>
      <c r="D501" t="s">
        <v>19</v>
      </c>
      <c r="E501" t="s">
        <v>91</v>
      </c>
      <c r="F501">
        <v>2847.808</v>
      </c>
      <c r="G501">
        <v>2859.4960000000001</v>
      </c>
      <c r="H501" s="3" t="s">
        <v>923</v>
      </c>
      <c r="I501" t="s">
        <v>1932</v>
      </c>
      <c r="J501" t="s">
        <v>1940</v>
      </c>
      <c r="U501" t="s">
        <v>924</v>
      </c>
    </row>
    <row r="502" spans="1:32" hidden="1" x14ac:dyDescent="0.25">
      <c r="A502">
        <v>417</v>
      </c>
      <c r="C502" t="s">
        <v>900</v>
      </c>
      <c r="D502" t="s">
        <v>118</v>
      </c>
      <c r="E502" t="s">
        <v>106</v>
      </c>
      <c r="F502">
        <v>2917.6410000000001</v>
      </c>
      <c r="G502">
        <v>2926.4789999999998</v>
      </c>
      <c r="H502" s="3" t="s">
        <v>965</v>
      </c>
      <c r="I502" t="s">
        <v>1932</v>
      </c>
      <c r="J502" t="s">
        <v>2106</v>
      </c>
      <c r="U502" t="s">
        <v>966</v>
      </c>
    </row>
    <row r="503" spans="1:32" hidden="1" x14ac:dyDescent="0.25">
      <c r="A503">
        <v>397</v>
      </c>
      <c r="C503" t="s">
        <v>900</v>
      </c>
      <c r="D503" t="s">
        <v>19</v>
      </c>
      <c r="E503" t="s">
        <v>94</v>
      </c>
      <c r="F503">
        <v>2925.518</v>
      </c>
      <c r="G503">
        <v>2936.8870000000002</v>
      </c>
      <c r="H503" s="3" t="s">
        <v>925</v>
      </c>
      <c r="I503" t="s">
        <v>1932</v>
      </c>
      <c r="J503" t="s">
        <v>1957</v>
      </c>
      <c r="U503" t="s">
        <v>926</v>
      </c>
    </row>
    <row r="504" spans="1:32" hidden="1" x14ac:dyDescent="0.25">
      <c r="A504">
        <v>445</v>
      </c>
      <c r="C504" t="s">
        <v>900</v>
      </c>
      <c r="D504" t="s">
        <v>47</v>
      </c>
      <c r="E504" t="s">
        <v>193</v>
      </c>
      <c r="F504">
        <v>3035.8429999999998</v>
      </c>
      <c r="G504">
        <v>3045.6080000000002</v>
      </c>
      <c r="H504" s="3" t="s">
        <v>1020</v>
      </c>
      <c r="I504" t="s">
        <v>1932</v>
      </c>
      <c r="J504" t="s">
        <v>2101</v>
      </c>
      <c r="K504">
        <v>446</v>
      </c>
      <c r="U504" t="s">
        <v>1021</v>
      </c>
    </row>
    <row r="505" spans="1:32" hidden="1" x14ac:dyDescent="0.25">
      <c r="A505">
        <v>446</v>
      </c>
      <c r="C505" t="s">
        <v>900</v>
      </c>
      <c r="D505" t="s">
        <v>47</v>
      </c>
      <c r="E505" t="s">
        <v>581</v>
      </c>
      <c r="F505">
        <v>3039.6959999999999</v>
      </c>
      <c r="G505">
        <v>3051.8580000000002</v>
      </c>
      <c r="H505" s="3" t="s">
        <v>1022</v>
      </c>
      <c r="I505" t="s">
        <v>1932</v>
      </c>
      <c r="J505" t="s">
        <v>2101</v>
      </c>
      <c r="K505">
        <v>445</v>
      </c>
      <c r="U505" t="s">
        <v>1023</v>
      </c>
    </row>
    <row r="506" spans="1:32" hidden="1" x14ac:dyDescent="0.25">
      <c r="A506">
        <v>447</v>
      </c>
      <c r="C506" t="s">
        <v>900</v>
      </c>
      <c r="D506" t="s">
        <v>47</v>
      </c>
      <c r="E506" t="s">
        <v>584</v>
      </c>
      <c r="F506">
        <v>3048.3850000000002</v>
      </c>
      <c r="G506">
        <v>3057.3870000000002</v>
      </c>
      <c r="H506" s="3" t="s">
        <v>1024</v>
      </c>
      <c r="I506" t="s">
        <v>1932</v>
      </c>
      <c r="J506" t="s">
        <v>1948</v>
      </c>
      <c r="U506" t="s">
        <v>1025</v>
      </c>
    </row>
    <row r="507" spans="1:32" hidden="1" x14ac:dyDescent="0.25">
      <c r="A507">
        <v>418</v>
      </c>
      <c r="C507" t="s">
        <v>900</v>
      </c>
      <c r="D507" t="s">
        <v>118</v>
      </c>
      <c r="E507" t="s">
        <v>109</v>
      </c>
      <c r="F507">
        <v>3052.5819999999999</v>
      </c>
      <c r="G507">
        <v>3064.8009999999999</v>
      </c>
      <c r="H507" s="3" t="s">
        <v>967</v>
      </c>
      <c r="I507" t="s">
        <v>1932</v>
      </c>
      <c r="J507" t="s">
        <v>2101</v>
      </c>
      <c r="U507" t="s">
        <v>968</v>
      </c>
    </row>
    <row r="508" spans="1:32" hidden="1" x14ac:dyDescent="0.25">
      <c r="A508">
        <v>448</v>
      </c>
      <c r="C508" t="s">
        <v>900</v>
      </c>
      <c r="D508" t="s">
        <v>47</v>
      </c>
      <c r="E508" t="s">
        <v>587</v>
      </c>
      <c r="F508">
        <v>3074.348</v>
      </c>
      <c r="G508">
        <v>3085.1460000000002</v>
      </c>
      <c r="H508" s="3" t="s">
        <v>1026</v>
      </c>
      <c r="I508" t="s">
        <v>1932</v>
      </c>
      <c r="J508" t="s">
        <v>2101</v>
      </c>
      <c r="U508" t="s">
        <v>1027</v>
      </c>
    </row>
    <row r="509" spans="1:32" hidden="1" x14ac:dyDescent="0.25">
      <c r="A509">
        <v>194</v>
      </c>
      <c r="B509" t="s">
        <v>2283</v>
      </c>
      <c r="C509" t="s">
        <v>449</v>
      </c>
      <c r="D509" t="s">
        <v>47</v>
      </c>
      <c r="E509" t="s">
        <v>29</v>
      </c>
      <c r="F509">
        <v>2961.1190000000001</v>
      </c>
      <c r="G509">
        <v>2972.308</v>
      </c>
      <c r="H509" s="3" t="s">
        <v>462</v>
      </c>
      <c r="I509" t="s">
        <v>1934</v>
      </c>
      <c r="L509" t="s">
        <v>1932</v>
      </c>
      <c r="M509" t="s">
        <v>1932</v>
      </c>
      <c r="N509" t="s">
        <v>1932</v>
      </c>
      <c r="O509" t="s">
        <v>1942</v>
      </c>
      <c r="P509" t="s">
        <v>2095</v>
      </c>
      <c r="Q509">
        <v>4</v>
      </c>
      <c r="T509" t="s">
        <v>2110</v>
      </c>
      <c r="U509" t="s">
        <v>463</v>
      </c>
      <c r="W509" t="s">
        <v>1934</v>
      </c>
      <c r="X509">
        <v>1</v>
      </c>
      <c r="Z509" s="5"/>
      <c r="AA509">
        <v>1</v>
      </c>
      <c r="AC509" s="5"/>
      <c r="AD509">
        <v>2</v>
      </c>
      <c r="AE509" t="s">
        <v>2337</v>
      </c>
      <c r="AF509" t="s">
        <v>2305</v>
      </c>
    </row>
    <row r="510" spans="1:32" hidden="1" x14ac:dyDescent="0.25">
      <c r="A510">
        <v>449</v>
      </c>
      <c r="C510" t="s">
        <v>900</v>
      </c>
      <c r="D510" t="s">
        <v>47</v>
      </c>
      <c r="E510" t="s">
        <v>590</v>
      </c>
      <c r="F510">
        <v>3116.288</v>
      </c>
      <c r="G510">
        <v>3125.9169999999999</v>
      </c>
      <c r="H510" s="3" t="s">
        <v>1028</v>
      </c>
      <c r="I510" t="s">
        <v>1932</v>
      </c>
      <c r="J510" t="s">
        <v>1940</v>
      </c>
      <c r="U510" t="s">
        <v>1029</v>
      </c>
    </row>
    <row r="511" spans="1:32" hidden="1" x14ac:dyDescent="0.25">
      <c r="A511">
        <v>398</v>
      </c>
      <c r="C511" t="s">
        <v>900</v>
      </c>
      <c r="D511" t="s">
        <v>19</v>
      </c>
      <c r="E511" t="s">
        <v>97</v>
      </c>
      <c r="F511">
        <v>3190.6039999999998</v>
      </c>
      <c r="G511">
        <v>3202.24</v>
      </c>
      <c r="H511" s="3" t="s">
        <v>927</v>
      </c>
      <c r="I511" t="s">
        <v>1932</v>
      </c>
      <c r="J511" t="s">
        <v>2125</v>
      </c>
      <c r="U511" t="s">
        <v>928</v>
      </c>
    </row>
    <row r="512" spans="1:32" x14ac:dyDescent="0.25">
      <c r="A512">
        <v>596</v>
      </c>
      <c r="C512" t="s">
        <v>1327</v>
      </c>
      <c r="D512" t="s">
        <v>19</v>
      </c>
      <c r="E512" t="s">
        <v>35</v>
      </c>
      <c r="F512">
        <v>2938.07</v>
      </c>
      <c r="G512">
        <v>2949.9459999999999</v>
      </c>
      <c r="H512" s="3" t="s">
        <v>1339</v>
      </c>
      <c r="I512" t="s">
        <v>1934</v>
      </c>
      <c r="J512" t="s">
        <v>1942</v>
      </c>
      <c r="L512" t="s">
        <v>1965</v>
      </c>
      <c r="M512" t="s">
        <v>1932</v>
      </c>
      <c r="N512" t="s">
        <v>1932</v>
      </c>
      <c r="O512" t="s">
        <v>1955</v>
      </c>
      <c r="P512" t="s">
        <v>2095</v>
      </c>
      <c r="Q512">
        <v>4</v>
      </c>
      <c r="T512" t="s">
        <v>2237</v>
      </c>
      <c r="U512" t="s">
        <v>1340</v>
      </c>
    </row>
    <row r="513" spans="1:31" hidden="1" x14ac:dyDescent="0.25">
      <c r="A513">
        <v>399</v>
      </c>
      <c r="C513" t="s">
        <v>900</v>
      </c>
      <c r="D513" t="s">
        <v>19</v>
      </c>
      <c r="E513" t="s">
        <v>100</v>
      </c>
      <c r="F513">
        <v>3203.1439999999998</v>
      </c>
      <c r="G513">
        <v>3214.2860000000001</v>
      </c>
      <c r="H513" s="3" t="s">
        <v>929</v>
      </c>
      <c r="I513" t="s">
        <v>1932</v>
      </c>
      <c r="J513" t="s">
        <v>2101</v>
      </c>
      <c r="K513">
        <v>450</v>
      </c>
      <c r="U513" t="s">
        <v>930</v>
      </c>
    </row>
    <row r="514" spans="1:31" hidden="1" x14ac:dyDescent="0.25">
      <c r="A514">
        <v>450</v>
      </c>
      <c r="C514" t="s">
        <v>900</v>
      </c>
      <c r="D514" t="s">
        <v>47</v>
      </c>
      <c r="E514" t="s">
        <v>593</v>
      </c>
      <c r="F514">
        <v>3203.1439999999998</v>
      </c>
      <c r="G514">
        <v>3214.2860000000001</v>
      </c>
      <c r="H514" s="3" t="s">
        <v>1030</v>
      </c>
      <c r="I514" t="s">
        <v>1932</v>
      </c>
      <c r="J514" t="s">
        <v>2101</v>
      </c>
      <c r="K514">
        <v>399</v>
      </c>
      <c r="U514" t="s">
        <v>930</v>
      </c>
    </row>
    <row r="515" spans="1:31" hidden="1" x14ac:dyDescent="0.25">
      <c r="A515">
        <v>451</v>
      </c>
      <c r="C515" t="s">
        <v>900</v>
      </c>
      <c r="D515" t="s">
        <v>47</v>
      </c>
      <c r="E515" t="s">
        <v>596</v>
      </c>
      <c r="F515">
        <v>3207.884</v>
      </c>
      <c r="G515">
        <v>3218.942</v>
      </c>
      <c r="H515" s="3" t="s">
        <v>1031</v>
      </c>
      <c r="I515" t="s">
        <v>1932</v>
      </c>
      <c r="J515" t="s">
        <v>2101</v>
      </c>
      <c r="U515" t="s">
        <v>1032</v>
      </c>
    </row>
    <row r="516" spans="1:31" hidden="1" x14ac:dyDescent="0.25">
      <c r="A516">
        <v>452</v>
      </c>
      <c r="C516" t="s">
        <v>900</v>
      </c>
      <c r="D516" t="s">
        <v>47</v>
      </c>
      <c r="E516" t="s">
        <v>599</v>
      </c>
      <c r="F516">
        <v>3214.4870000000001</v>
      </c>
      <c r="G516">
        <v>3224.415</v>
      </c>
      <c r="H516" s="3" t="s">
        <v>1033</v>
      </c>
      <c r="I516" t="s">
        <v>1932</v>
      </c>
      <c r="J516" t="s">
        <v>2101</v>
      </c>
      <c r="U516" t="s">
        <v>1034</v>
      </c>
    </row>
    <row r="517" spans="1:31" hidden="1" x14ac:dyDescent="0.25">
      <c r="A517">
        <v>598</v>
      </c>
      <c r="C517" t="s">
        <v>1327</v>
      </c>
      <c r="D517" t="s">
        <v>118</v>
      </c>
      <c r="E517" t="s">
        <v>20</v>
      </c>
      <c r="F517">
        <v>16.071999999999999</v>
      </c>
      <c r="G517">
        <v>28.37</v>
      </c>
      <c r="H517" s="3" t="s">
        <v>1343</v>
      </c>
      <c r="I517" t="s">
        <v>1934</v>
      </c>
      <c r="J517" t="s">
        <v>1945</v>
      </c>
      <c r="L517" t="s">
        <v>1935</v>
      </c>
      <c r="M517" t="s">
        <v>1932</v>
      </c>
      <c r="N517" t="s">
        <v>1932</v>
      </c>
      <c r="O517" t="s">
        <v>1936</v>
      </c>
      <c r="P517" t="s">
        <v>1934</v>
      </c>
      <c r="Q517">
        <v>1</v>
      </c>
      <c r="T517" t="s">
        <v>1967</v>
      </c>
      <c r="U517" t="s">
        <v>1344</v>
      </c>
      <c r="V517" t="s">
        <v>1330</v>
      </c>
    </row>
    <row r="518" spans="1:31" hidden="1" x14ac:dyDescent="0.25">
      <c r="A518">
        <v>453</v>
      </c>
      <c r="C518" t="s">
        <v>900</v>
      </c>
      <c r="D518" t="s">
        <v>47</v>
      </c>
      <c r="E518" t="s">
        <v>602</v>
      </c>
      <c r="F518">
        <v>3224.4470000000001</v>
      </c>
      <c r="G518">
        <v>3237.413</v>
      </c>
      <c r="H518" s="3" t="s">
        <v>1035</v>
      </c>
      <c r="I518" t="s">
        <v>1932</v>
      </c>
      <c r="J518" t="s">
        <v>2106</v>
      </c>
      <c r="U518" t="s">
        <v>1036</v>
      </c>
    </row>
    <row r="519" spans="1:31" hidden="1" x14ac:dyDescent="0.25">
      <c r="A519">
        <v>454</v>
      </c>
      <c r="C519" t="s">
        <v>900</v>
      </c>
      <c r="D519" t="s">
        <v>47</v>
      </c>
      <c r="E519" t="s">
        <v>605</v>
      </c>
      <c r="F519">
        <v>3243.7310000000002</v>
      </c>
      <c r="G519">
        <v>3255.596</v>
      </c>
      <c r="H519" s="3" t="s">
        <v>1037</v>
      </c>
      <c r="I519" t="s">
        <v>1932</v>
      </c>
      <c r="J519" t="s">
        <v>1948</v>
      </c>
      <c r="U519" t="s">
        <v>1038</v>
      </c>
    </row>
    <row r="520" spans="1:31" hidden="1" x14ac:dyDescent="0.25">
      <c r="A520">
        <v>455</v>
      </c>
      <c r="C520" t="s">
        <v>900</v>
      </c>
      <c r="D520" t="s">
        <v>47</v>
      </c>
      <c r="E520" t="s">
        <v>608</v>
      </c>
      <c r="F520">
        <v>3256.4650000000001</v>
      </c>
      <c r="G520">
        <v>3265.107</v>
      </c>
      <c r="H520" s="3" t="s">
        <v>1039</v>
      </c>
      <c r="I520" t="s">
        <v>1932</v>
      </c>
      <c r="J520" t="s">
        <v>2101</v>
      </c>
      <c r="K520">
        <v>456</v>
      </c>
      <c r="U520" t="s">
        <v>1040</v>
      </c>
    </row>
    <row r="521" spans="1:31" hidden="1" x14ac:dyDescent="0.25">
      <c r="A521">
        <v>456</v>
      </c>
      <c r="C521" t="s">
        <v>900</v>
      </c>
      <c r="D521" t="s">
        <v>47</v>
      </c>
      <c r="E521" t="s">
        <v>611</v>
      </c>
      <c r="F521">
        <v>3261.81</v>
      </c>
      <c r="G521">
        <v>3270.8609999999999</v>
      </c>
      <c r="H521" s="3" t="s">
        <v>1041</v>
      </c>
      <c r="I521" t="s">
        <v>1932</v>
      </c>
      <c r="J521" t="s">
        <v>2101</v>
      </c>
      <c r="K521">
        <v>455</v>
      </c>
      <c r="U521" t="s">
        <v>1042</v>
      </c>
    </row>
    <row r="522" spans="1:31" hidden="1" x14ac:dyDescent="0.25">
      <c r="A522">
        <v>457</v>
      </c>
      <c r="C522" t="s">
        <v>900</v>
      </c>
      <c r="D522" t="s">
        <v>47</v>
      </c>
      <c r="E522" t="s">
        <v>614</v>
      </c>
      <c r="F522">
        <v>3276.99</v>
      </c>
      <c r="G522">
        <v>3286.6260000000002</v>
      </c>
      <c r="H522" s="3" t="s">
        <v>1043</v>
      </c>
      <c r="I522" t="s">
        <v>1932</v>
      </c>
      <c r="J522" t="s">
        <v>2101</v>
      </c>
      <c r="K522">
        <v>419</v>
      </c>
      <c r="U522" t="s">
        <v>1044</v>
      </c>
    </row>
    <row r="523" spans="1:31" hidden="1" x14ac:dyDescent="0.25">
      <c r="A523">
        <v>419</v>
      </c>
      <c r="C523" t="s">
        <v>900</v>
      </c>
      <c r="D523" t="s">
        <v>118</v>
      </c>
      <c r="E523" t="s">
        <v>112</v>
      </c>
      <c r="F523">
        <v>3278.848</v>
      </c>
      <c r="G523">
        <v>3290.86</v>
      </c>
      <c r="H523" s="3" t="s">
        <v>969</v>
      </c>
      <c r="I523" t="s">
        <v>1932</v>
      </c>
      <c r="J523" t="s">
        <v>2101</v>
      </c>
      <c r="K523">
        <v>457</v>
      </c>
      <c r="U523" t="s">
        <v>970</v>
      </c>
    </row>
    <row r="524" spans="1:31" hidden="1" x14ac:dyDescent="0.25">
      <c r="A524">
        <v>458</v>
      </c>
      <c r="C524" t="s">
        <v>900</v>
      </c>
      <c r="D524" t="s">
        <v>47</v>
      </c>
      <c r="E524" t="s">
        <v>617</v>
      </c>
      <c r="F524">
        <v>3304.19</v>
      </c>
      <c r="G524">
        <v>3312.8249999999998</v>
      </c>
      <c r="H524" s="3" t="s">
        <v>1045</v>
      </c>
      <c r="I524" t="s">
        <v>1932</v>
      </c>
      <c r="J524" t="s">
        <v>2101</v>
      </c>
      <c r="K524">
        <v>459</v>
      </c>
      <c r="U524" t="s">
        <v>1046</v>
      </c>
    </row>
    <row r="525" spans="1:31" hidden="1" x14ac:dyDescent="0.25">
      <c r="A525">
        <v>400</v>
      </c>
      <c r="C525" t="s">
        <v>900</v>
      </c>
      <c r="D525" t="s">
        <v>19</v>
      </c>
      <c r="E525" t="s">
        <v>103</v>
      </c>
      <c r="F525">
        <v>3346.5810000000001</v>
      </c>
      <c r="G525">
        <v>3355.509</v>
      </c>
      <c r="H525" s="3" t="s">
        <v>931</v>
      </c>
      <c r="I525" t="s">
        <v>1932</v>
      </c>
      <c r="J525" t="s">
        <v>1940</v>
      </c>
      <c r="U525" t="s">
        <v>932</v>
      </c>
    </row>
    <row r="526" spans="1:31" hidden="1" x14ac:dyDescent="0.25">
      <c r="A526">
        <v>599</v>
      </c>
      <c r="C526" t="s">
        <v>1327</v>
      </c>
      <c r="D526" t="s">
        <v>118</v>
      </c>
      <c r="E526" t="s">
        <v>23</v>
      </c>
      <c r="F526">
        <v>196.53200000000001</v>
      </c>
      <c r="G526">
        <v>205</v>
      </c>
      <c r="H526" s="3" t="s">
        <v>1345</v>
      </c>
      <c r="I526" t="s">
        <v>1934</v>
      </c>
      <c r="L526" t="s">
        <v>1932</v>
      </c>
      <c r="M526" t="s">
        <v>1932</v>
      </c>
      <c r="N526" t="s">
        <v>1932</v>
      </c>
      <c r="O526" t="s">
        <v>1955</v>
      </c>
      <c r="P526" t="s">
        <v>1934</v>
      </c>
      <c r="Q526">
        <v>1</v>
      </c>
      <c r="T526" t="s">
        <v>1992</v>
      </c>
      <c r="U526" t="s">
        <v>1346</v>
      </c>
      <c r="V526" t="s">
        <v>1330</v>
      </c>
    </row>
    <row r="527" spans="1:31" hidden="1" x14ac:dyDescent="0.25">
      <c r="A527">
        <v>460</v>
      </c>
      <c r="C527" t="s">
        <v>900</v>
      </c>
      <c r="D527" t="s">
        <v>47</v>
      </c>
      <c r="E527" t="s">
        <v>623</v>
      </c>
      <c r="F527">
        <v>3369.5259999999998</v>
      </c>
      <c r="G527">
        <v>3377.9839999999999</v>
      </c>
      <c r="H527" s="3" t="s">
        <v>1049</v>
      </c>
      <c r="I527" t="s">
        <v>1932</v>
      </c>
      <c r="J527" t="s">
        <v>1957</v>
      </c>
      <c r="U527" t="s">
        <v>1050</v>
      </c>
    </row>
    <row r="528" spans="1:31" hidden="1" x14ac:dyDescent="0.25">
      <c r="A528">
        <v>416</v>
      </c>
      <c r="B528" t="s">
        <v>2285</v>
      </c>
      <c r="C528" t="s">
        <v>900</v>
      </c>
      <c r="D528" t="s">
        <v>118</v>
      </c>
      <c r="E528" t="s">
        <v>103</v>
      </c>
      <c r="F528">
        <v>1805.1179999999999</v>
      </c>
      <c r="G528">
        <v>1813.8489999999999</v>
      </c>
      <c r="H528" s="3" t="s">
        <v>963</v>
      </c>
      <c r="I528" t="s">
        <v>1934</v>
      </c>
      <c r="L528" t="s">
        <v>1932</v>
      </c>
      <c r="M528" t="s">
        <v>1932</v>
      </c>
      <c r="N528" t="s">
        <v>1932</v>
      </c>
      <c r="O528" t="s">
        <v>1936</v>
      </c>
      <c r="P528" t="s">
        <v>2095</v>
      </c>
      <c r="Q528">
        <v>4</v>
      </c>
      <c r="T528" t="s">
        <v>2149</v>
      </c>
      <c r="U528" t="s">
        <v>964</v>
      </c>
      <c r="W528" t="s">
        <v>1934</v>
      </c>
      <c r="X528">
        <v>1</v>
      </c>
      <c r="Z528" s="5"/>
      <c r="AA528">
        <v>2</v>
      </c>
      <c r="AC528" s="5" t="s">
        <v>2331</v>
      </c>
      <c r="AD528">
        <v>1</v>
      </c>
      <c r="AE528" t="s">
        <v>2338</v>
      </c>
    </row>
    <row r="529" spans="1:32" hidden="1" x14ac:dyDescent="0.25">
      <c r="A529">
        <v>461</v>
      </c>
      <c r="C529" t="s">
        <v>900</v>
      </c>
      <c r="D529" t="s">
        <v>47</v>
      </c>
      <c r="E529" t="s">
        <v>626</v>
      </c>
      <c r="F529">
        <v>3410.7179999999998</v>
      </c>
      <c r="G529">
        <v>3419.451</v>
      </c>
      <c r="H529" s="3" t="s">
        <v>1051</v>
      </c>
      <c r="I529" t="s">
        <v>1932</v>
      </c>
      <c r="J529" t="s">
        <v>2101</v>
      </c>
      <c r="U529" t="s">
        <v>1052</v>
      </c>
    </row>
    <row r="530" spans="1:32" hidden="1" x14ac:dyDescent="0.25">
      <c r="A530">
        <v>462</v>
      </c>
      <c r="C530" t="s">
        <v>900</v>
      </c>
      <c r="D530" t="s">
        <v>47</v>
      </c>
      <c r="E530" t="s">
        <v>629</v>
      </c>
      <c r="F530">
        <v>3431.221</v>
      </c>
      <c r="G530">
        <v>3440.0909999999999</v>
      </c>
      <c r="H530" s="3" t="s">
        <v>1053</v>
      </c>
      <c r="I530" t="s">
        <v>1932</v>
      </c>
      <c r="J530" t="s">
        <v>1948</v>
      </c>
      <c r="U530" t="s">
        <v>1054</v>
      </c>
    </row>
    <row r="531" spans="1:32" hidden="1" x14ac:dyDescent="0.25">
      <c r="A531">
        <v>463</v>
      </c>
      <c r="C531" t="s">
        <v>900</v>
      </c>
      <c r="D531" t="s">
        <v>47</v>
      </c>
      <c r="E531" t="s">
        <v>632</v>
      </c>
      <c r="F531">
        <v>3472.4180000000001</v>
      </c>
      <c r="G531">
        <v>3483.4839999999999</v>
      </c>
      <c r="H531" s="3" t="s">
        <v>1055</v>
      </c>
      <c r="I531" t="s">
        <v>1932</v>
      </c>
      <c r="J531" t="s">
        <v>2101</v>
      </c>
      <c r="U531" t="s">
        <v>1056</v>
      </c>
    </row>
    <row r="532" spans="1:32" hidden="1" x14ac:dyDescent="0.25">
      <c r="A532">
        <v>464</v>
      </c>
      <c r="C532" t="s">
        <v>900</v>
      </c>
      <c r="D532" t="s">
        <v>47</v>
      </c>
      <c r="E532" t="s">
        <v>635</v>
      </c>
      <c r="F532">
        <v>3618.37</v>
      </c>
      <c r="G532">
        <v>3628.0230000000001</v>
      </c>
      <c r="H532" s="3" t="s">
        <v>1057</v>
      </c>
      <c r="I532" t="s">
        <v>1932</v>
      </c>
      <c r="J532" t="s">
        <v>2101</v>
      </c>
      <c r="U532" t="s">
        <v>1058</v>
      </c>
    </row>
    <row r="533" spans="1:32" hidden="1" x14ac:dyDescent="0.25">
      <c r="A533">
        <v>459</v>
      </c>
      <c r="B533" t="s">
        <v>2286</v>
      </c>
      <c r="C533" t="s">
        <v>900</v>
      </c>
      <c r="D533" t="s">
        <v>47</v>
      </c>
      <c r="E533" t="s">
        <v>620</v>
      </c>
      <c r="F533">
        <v>3308.1329999999998</v>
      </c>
      <c r="G533">
        <v>3316.84</v>
      </c>
      <c r="H533" s="3" t="s">
        <v>1047</v>
      </c>
      <c r="I533" t="s">
        <v>1934</v>
      </c>
      <c r="J533" t="s">
        <v>2101</v>
      </c>
      <c r="K533">
        <v>458</v>
      </c>
      <c r="L533" t="s">
        <v>1932</v>
      </c>
      <c r="M533" t="s">
        <v>1932</v>
      </c>
      <c r="N533" t="s">
        <v>1932</v>
      </c>
      <c r="O533" t="s">
        <v>1936</v>
      </c>
      <c r="P533" t="s">
        <v>2095</v>
      </c>
      <c r="Q533">
        <v>4</v>
      </c>
      <c r="T533" t="s">
        <v>2213</v>
      </c>
      <c r="U533" t="s">
        <v>1048</v>
      </c>
      <c r="W533" t="s">
        <v>1934</v>
      </c>
      <c r="X533">
        <v>1</v>
      </c>
      <c r="Y533" t="s">
        <v>2303</v>
      </c>
      <c r="Z533" s="5"/>
      <c r="AA533">
        <v>1</v>
      </c>
      <c r="AC533" s="5" t="s">
        <v>2297</v>
      </c>
      <c r="AD533">
        <v>2</v>
      </c>
      <c r="AE533" t="s">
        <v>2339</v>
      </c>
    </row>
    <row r="534" spans="1:32" hidden="1" x14ac:dyDescent="0.25">
      <c r="A534">
        <v>465</v>
      </c>
      <c r="C534" t="s">
        <v>900</v>
      </c>
      <c r="D534" t="s">
        <v>47</v>
      </c>
      <c r="E534" t="s">
        <v>638</v>
      </c>
      <c r="F534">
        <v>3660.0630000000001</v>
      </c>
      <c r="G534">
        <v>3670.498</v>
      </c>
      <c r="H534" s="3" t="s">
        <v>1059</v>
      </c>
      <c r="I534" t="s">
        <v>1932</v>
      </c>
      <c r="J534" t="s">
        <v>2101</v>
      </c>
      <c r="U534" t="s">
        <v>1060</v>
      </c>
    </row>
    <row r="535" spans="1:32" hidden="1" x14ac:dyDescent="0.25">
      <c r="A535">
        <v>466</v>
      </c>
      <c r="C535" t="s">
        <v>900</v>
      </c>
      <c r="D535" t="s">
        <v>47</v>
      </c>
      <c r="E535" t="s">
        <v>641</v>
      </c>
      <c r="F535">
        <v>3725.22</v>
      </c>
      <c r="G535">
        <v>3734.453</v>
      </c>
      <c r="H535" s="3" t="s">
        <v>1061</v>
      </c>
      <c r="I535" t="s">
        <v>1932</v>
      </c>
      <c r="J535" t="s">
        <v>1957</v>
      </c>
      <c r="U535" t="s">
        <v>1062</v>
      </c>
    </row>
    <row r="536" spans="1:32" hidden="1" x14ac:dyDescent="0.25">
      <c r="A536">
        <v>355</v>
      </c>
      <c r="C536" t="s">
        <v>825</v>
      </c>
      <c r="D536" t="s">
        <v>19</v>
      </c>
      <c r="E536" t="s">
        <v>38</v>
      </c>
      <c r="F536">
        <v>677.01400000000001</v>
      </c>
      <c r="G536">
        <v>687.52</v>
      </c>
      <c r="H536" s="3" t="s">
        <v>841</v>
      </c>
      <c r="I536" t="s">
        <v>1932</v>
      </c>
      <c r="J536" t="s">
        <v>2101</v>
      </c>
      <c r="U536" t="s">
        <v>842</v>
      </c>
    </row>
    <row r="537" spans="1:32" hidden="1" x14ac:dyDescent="0.25">
      <c r="A537">
        <v>356</v>
      </c>
      <c r="C537" t="s">
        <v>825</v>
      </c>
      <c r="D537" t="s">
        <v>19</v>
      </c>
      <c r="E537" t="s">
        <v>41</v>
      </c>
      <c r="F537">
        <v>697.81600000000003</v>
      </c>
      <c r="G537">
        <v>709.03599999999994</v>
      </c>
      <c r="H537" s="3" t="s">
        <v>843</v>
      </c>
      <c r="I537" t="s">
        <v>1932</v>
      </c>
      <c r="J537" t="s">
        <v>2101</v>
      </c>
      <c r="T537" t="s">
        <v>2078</v>
      </c>
      <c r="U537" t="s">
        <v>844</v>
      </c>
    </row>
    <row r="538" spans="1:32" hidden="1" x14ac:dyDescent="0.25">
      <c r="A538">
        <v>349</v>
      </c>
      <c r="C538" t="s">
        <v>825</v>
      </c>
      <c r="D538" t="s">
        <v>19</v>
      </c>
      <c r="E538" t="s">
        <v>20</v>
      </c>
      <c r="F538">
        <v>128.21</v>
      </c>
      <c r="G538">
        <v>137.72</v>
      </c>
      <c r="H538" s="3" t="s">
        <v>826</v>
      </c>
      <c r="I538" t="s">
        <v>1932</v>
      </c>
      <c r="J538" t="s">
        <v>1957</v>
      </c>
      <c r="U538" t="s">
        <v>827</v>
      </c>
      <c r="V538" t="s">
        <v>828</v>
      </c>
    </row>
    <row r="539" spans="1:32" hidden="1" x14ac:dyDescent="0.25">
      <c r="A539">
        <v>350</v>
      </c>
      <c r="C539" t="s">
        <v>825</v>
      </c>
      <c r="D539" t="s">
        <v>19</v>
      </c>
      <c r="E539" t="s">
        <v>23</v>
      </c>
      <c r="F539">
        <v>152.923</v>
      </c>
      <c r="G539">
        <v>163.989</v>
      </c>
      <c r="H539" s="3" t="s">
        <v>829</v>
      </c>
      <c r="I539" t="s">
        <v>1932</v>
      </c>
      <c r="J539" t="s">
        <v>1952</v>
      </c>
      <c r="U539" t="s">
        <v>830</v>
      </c>
      <c r="V539" t="s">
        <v>831</v>
      </c>
    </row>
    <row r="540" spans="1:32" hidden="1" x14ac:dyDescent="0.25">
      <c r="A540">
        <v>351</v>
      </c>
      <c r="C540" t="s">
        <v>825</v>
      </c>
      <c r="D540" t="s">
        <v>19</v>
      </c>
      <c r="E540" t="s">
        <v>26</v>
      </c>
      <c r="F540">
        <v>167.37700000000001</v>
      </c>
      <c r="G540">
        <v>176.60499999999999</v>
      </c>
      <c r="H540" s="3" t="s">
        <v>832</v>
      </c>
      <c r="I540" t="s">
        <v>1932</v>
      </c>
      <c r="J540" t="s">
        <v>1952</v>
      </c>
      <c r="U540" t="s">
        <v>833</v>
      </c>
      <c r="V540" t="s">
        <v>834</v>
      </c>
    </row>
    <row r="541" spans="1:32" hidden="1" x14ac:dyDescent="0.25">
      <c r="A541">
        <v>383</v>
      </c>
      <c r="C541" t="s">
        <v>825</v>
      </c>
      <c r="D541" t="s">
        <v>118</v>
      </c>
      <c r="E541" t="s">
        <v>20</v>
      </c>
      <c r="F541">
        <v>522.95399999999995</v>
      </c>
      <c r="G541">
        <v>532.18799999999999</v>
      </c>
      <c r="H541" s="3" t="s">
        <v>897</v>
      </c>
      <c r="I541" t="s">
        <v>1932</v>
      </c>
      <c r="J541" t="s">
        <v>1952</v>
      </c>
      <c r="U541" t="s">
        <v>898</v>
      </c>
    </row>
    <row r="542" spans="1:32" hidden="1" x14ac:dyDescent="0.25">
      <c r="A542">
        <v>352</v>
      </c>
      <c r="C542" t="s">
        <v>825</v>
      </c>
      <c r="D542" t="s">
        <v>19</v>
      </c>
      <c r="E542" t="s">
        <v>29</v>
      </c>
      <c r="F542">
        <v>530.84500000000003</v>
      </c>
      <c r="G542">
        <v>543.98099999999999</v>
      </c>
      <c r="H542" s="3" t="s">
        <v>835</v>
      </c>
      <c r="I542" t="s">
        <v>1932</v>
      </c>
      <c r="J542" t="s">
        <v>2055</v>
      </c>
      <c r="U542" t="s">
        <v>836</v>
      </c>
    </row>
    <row r="543" spans="1:32" hidden="1" x14ac:dyDescent="0.25">
      <c r="A543">
        <v>376</v>
      </c>
      <c r="B543" t="s">
        <v>2284</v>
      </c>
      <c r="C543" t="s">
        <v>825</v>
      </c>
      <c r="D543" t="s">
        <v>19</v>
      </c>
      <c r="E543" t="s">
        <v>584</v>
      </c>
      <c r="F543">
        <v>2597.0360000000001</v>
      </c>
      <c r="G543">
        <v>2605.9569999999999</v>
      </c>
      <c r="H543" s="3" t="s">
        <v>883</v>
      </c>
      <c r="I543" t="s">
        <v>1934</v>
      </c>
      <c r="L543" t="s">
        <v>1932</v>
      </c>
      <c r="M543" t="s">
        <v>1932</v>
      </c>
      <c r="N543" t="s">
        <v>1932</v>
      </c>
      <c r="O543" t="s">
        <v>1955</v>
      </c>
      <c r="P543" t="s">
        <v>2095</v>
      </c>
      <c r="Q543">
        <v>4</v>
      </c>
      <c r="T543" t="s">
        <v>2184</v>
      </c>
      <c r="U543" t="s">
        <v>884</v>
      </c>
      <c r="W543" t="s">
        <v>2362</v>
      </c>
      <c r="X543">
        <v>1</v>
      </c>
      <c r="Y543" t="s">
        <v>2302</v>
      </c>
      <c r="AA543">
        <v>2</v>
      </c>
      <c r="AB543" t="s">
        <v>2304</v>
      </c>
      <c r="AC543" t="s">
        <v>2304</v>
      </c>
      <c r="AD543">
        <v>2</v>
      </c>
      <c r="AE543" t="s">
        <v>2304</v>
      </c>
      <c r="AF543" t="s">
        <v>2304</v>
      </c>
    </row>
    <row r="544" spans="1:32" hidden="1" x14ac:dyDescent="0.25">
      <c r="A544">
        <v>357</v>
      </c>
      <c r="C544" t="s">
        <v>825</v>
      </c>
      <c r="D544" t="s">
        <v>19</v>
      </c>
      <c r="E544" t="s">
        <v>44</v>
      </c>
      <c r="F544">
        <v>832.33699999999999</v>
      </c>
      <c r="G544">
        <v>842.21900000000005</v>
      </c>
      <c r="H544" s="3" t="s">
        <v>845</v>
      </c>
      <c r="I544" t="s">
        <v>1932</v>
      </c>
      <c r="J544" t="s">
        <v>1947</v>
      </c>
      <c r="U544" t="s">
        <v>846</v>
      </c>
    </row>
    <row r="545" spans="1:31" hidden="1" x14ac:dyDescent="0.25">
      <c r="A545">
        <v>358</v>
      </c>
      <c r="C545" t="s">
        <v>825</v>
      </c>
      <c r="D545" t="s">
        <v>19</v>
      </c>
      <c r="E545" t="s">
        <v>85</v>
      </c>
      <c r="F545">
        <v>861.18700000000001</v>
      </c>
      <c r="G545">
        <v>871.23900000000003</v>
      </c>
      <c r="H545" s="3" t="s">
        <v>847</v>
      </c>
      <c r="I545" t="s">
        <v>1932</v>
      </c>
      <c r="J545" t="s">
        <v>2101</v>
      </c>
      <c r="U545" t="s">
        <v>848</v>
      </c>
    </row>
    <row r="546" spans="1:31" hidden="1" x14ac:dyDescent="0.25">
      <c r="A546">
        <v>359</v>
      </c>
      <c r="C546" t="s">
        <v>825</v>
      </c>
      <c r="D546" t="s">
        <v>19</v>
      </c>
      <c r="E546" t="s">
        <v>88</v>
      </c>
      <c r="F546">
        <v>944.70600000000002</v>
      </c>
      <c r="G546">
        <v>953.40800000000002</v>
      </c>
      <c r="H546" s="3" t="s">
        <v>849</v>
      </c>
      <c r="I546" t="s">
        <v>1932</v>
      </c>
      <c r="J546" t="s">
        <v>1957</v>
      </c>
      <c r="U546" t="s">
        <v>850</v>
      </c>
    </row>
    <row r="547" spans="1:31" hidden="1" x14ac:dyDescent="0.25">
      <c r="A547">
        <v>82</v>
      </c>
      <c r="B547" t="s">
        <v>2277</v>
      </c>
      <c r="C547" t="s">
        <v>215</v>
      </c>
      <c r="D547" t="s">
        <v>19</v>
      </c>
      <c r="E547" t="s">
        <v>32</v>
      </c>
      <c r="F547">
        <v>1581.818</v>
      </c>
      <c r="G547">
        <v>1592.914</v>
      </c>
      <c r="H547" s="3" t="s">
        <v>224</v>
      </c>
      <c r="I547" t="s">
        <v>1934</v>
      </c>
      <c r="L547" t="s">
        <v>1932</v>
      </c>
      <c r="M547" t="s">
        <v>1932</v>
      </c>
      <c r="N547" t="s">
        <v>1932</v>
      </c>
      <c r="O547" t="s">
        <v>1936</v>
      </c>
      <c r="P547" t="s">
        <v>1937</v>
      </c>
      <c r="Q547">
        <v>4</v>
      </c>
      <c r="T547" t="s">
        <v>2019</v>
      </c>
      <c r="U547" t="s">
        <v>225</v>
      </c>
      <c r="W547" t="s">
        <v>1934</v>
      </c>
      <c r="X547">
        <v>1</v>
      </c>
      <c r="Z547" s="5"/>
      <c r="AA547">
        <v>1</v>
      </c>
      <c r="AC547" s="5"/>
      <c r="AD547">
        <v>1</v>
      </c>
    </row>
    <row r="548" spans="1:31" hidden="1" x14ac:dyDescent="0.25">
      <c r="A548">
        <v>633</v>
      </c>
      <c r="C548" t="s">
        <v>1422</v>
      </c>
      <c r="D548" t="s">
        <v>118</v>
      </c>
      <c r="E548" t="s">
        <v>20</v>
      </c>
      <c r="F548">
        <v>159.00800000000001</v>
      </c>
      <c r="G548">
        <v>168.04300000000001</v>
      </c>
      <c r="H548" s="3" t="s">
        <v>1423</v>
      </c>
      <c r="I548" t="s">
        <v>1934</v>
      </c>
      <c r="J548" t="s">
        <v>1961</v>
      </c>
      <c r="L548" t="s">
        <v>1932</v>
      </c>
      <c r="M548" t="s">
        <v>1934</v>
      </c>
      <c r="N548" t="s">
        <v>1932</v>
      </c>
      <c r="O548" t="s">
        <v>1936</v>
      </c>
      <c r="P548" t="s">
        <v>1937</v>
      </c>
      <c r="Q548">
        <v>1</v>
      </c>
      <c r="T548" t="s">
        <v>1987</v>
      </c>
      <c r="U548" t="s">
        <v>1424</v>
      </c>
      <c r="V548" t="s">
        <v>1425</v>
      </c>
    </row>
    <row r="549" spans="1:31" hidden="1" x14ac:dyDescent="0.25">
      <c r="A549">
        <v>360</v>
      </c>
      <c r="C549" t="s">
        <v>825</v>
      </c>
      <c r="D549" t="s">
        <v>19</v>
      </c>
      <c r="E549" t="s">
        <v>91</v>
      </c>
      <c r="F549">
        <v>945.81200000000001</v>
      </c>
      <c r="G549">
        <v>958.16200000000003</v>
      </c>
      <c r="H549" s="3" t="s">
        <v>851</v>
      </c>
      <c r="I549" t="s">
        <v>1932</v>
      </c>
      <c r="J549" t="s">
        <v>1961</v>
      </c>
      <c r="U549" t="s">
        <v>852</v>
      </c>
    </row>
    <row r="550" spans="1:31" hidden="1" x14ac:dyDescent="0.25">
      <c r="A550">
        <v>361</v>
      </c>
      <c r="C550" t="s">
        <v>825</v>
      </c>
      <c r="D550" t="s">
        <v>19</v>
      </c>
      <c r="E550" t="s">
        <v>94</v>
      </c>
      <c r="F550">
        <v>1070.8330000000001</v>
      </c>
      <c r="G550">
        <v>1080.5730000000001</v>
      </c>
      <c r="H550" s="3" t="s">
        <v>853</v>
      </c>
      <c r="I550" t="s">
        <v>1932</v>
      </c>
      <c r="J550" t="s">
        <v>1957</v>
      </c>
      <c r="U550" t="s">
        <v>854</v>
      </c>
    </row>
    <row r="551" spans="1:31" hidden="1" x14ac:dyDescent="0.25">
      <c r="A551">
        <v>362</v>
      </c>
      <c r="C551" t="s">
        <v>825</v>
      </c>
      <c r="D551" t="s">
        <v>19</v>
      </c>
      <c r="E551" t="s">
        <v>97</v>
      </c>
      <c r="F551">
        <v>1414.7360000000001</v>
      </c>
      <c r="G551">
        <v>1423.9949999999999</v>
      </c>
      <c r="H551" s="3" t="s">
        <v>855</v>
      </c>
      <c r="I551" t="s">
        <v>1932</v>
      </c>
      <c r="J551" t="s">
        <v>1957</v>
      </c>
      <c r="Q551">
        <v>1</v>
      </c>
      <c r="T551" t="s">
        <v>2130</v>
      </c>
      <c r="U551" t="s">
        <v>856</v>
      </c>
    </row>
    <row r="552" spans="1:31" hidden="1" x14ac:dyDescent="0.25">
      <c r="A552">
        <v>363</v>
      </c>
      <c r="C552" t="s">
        <v>825</v>
      </c>
      <c r="D552" t="s">
        <v>19</v>
      </c>
      <c r="E552" t="s">
        <v>100</v>
      </c>
      <c r="F552">
        <v>1461.655</v>
      </c>
      <c r="G552">
        <v>1471.836</v>
      </c>
      <c r="H552" s="3" t="s">
        <v>857</v>
      </c>
      <c r="I552" t="s">
        <v>1932</v>
      </c>
      <c r="J552" t="s">
        <v>2101</v>
      </c>
      <c r="U552" t="s">
        <v>858</v>
      </c>
    </row>
    <row r="553" spans="1:31" hidden="1" x14ac:dyDescent="0.25">
      <c r="A553">
        <v>364</v>
      </c>
      <c r="C553" t="s">
        <v>825</v>
      </c>
      <c r="D553" t="s">
        <v>19</v>
      </c>
      <c r="E553" t="s">
        <v>103</v>
      </c>
      <c r="F553">
        <v>1633.912</v>
      </c>
      <c r="G553">
        <v>1643.2750000000001</v>
      </c>
      <c r="H553" s="3" t="s">
        <v>859</v>
      </c>
      <c r="I553" t="s">
        <v>1932</v>
      </c>
      <c r="J553" t="s">
        <v>2101</v>
      </c>
      <c r="U553" t="s">
        <v>860</v>
      </c>
    </row>
    <row r="554" spans="1:31" hidden="1" x14ac:dyDescent="0.25">
      <c r="A554">
        <v>365</v>
      </c>
      <c r="C554" t="s">
        <v>825</v>
      </c>
      <c r="D554" t="s">
        <v>19</v>
      </c>
      <c r="E554" t="s">
        <v>106</v>
      </c>
      <c r="F554">
        <v>1700.19</v>
      </c>
      <c r="G554">
        <v>1710.8209999999999</v>
      </c>
      <c r="H554" s="3" t="s">
        <v>861</v>
      </c>
      <c r="I554" t="s">
        <v>1932</v>
      </c>
      <c r="J554" t="s">
        <v>2101</v>
      </c>
      <c r="U554" t="s">
        <v>862</v>
      </c>
    </row>
    <row r="555" spans="1:31" hidden="1" x14ac:dyDescent="0.25">
      <c r="A555">
        <v>124</v>
      </c>
      <c r="B555" t="s">
        <v>2279</v>
      </c>
      <c r="C555" t="s">
        <v>281</v>
      </c>
      <c r="D555" t="s">
        <v>118</v>
      </c>
      <c r="E555" t="s">
        <v>91</v>
      </c>
      <c r="F555">
        <v>2870.4639999999999</v>
      </c>
      <c r="G555">
        <v>2878.9989999999998</v>
      </c>
      <c r="H555" s="3" t="s">
        <v>310</v>
      </c>
      <c r="I555" t="s">
        <v>1934</v>
      </c>
      <c r="L555" t="s">
        <v>1932</v>
      </c>
      <c r="M555" t="s">
        <v>1932</v>
      </c>
      <c r="N555" t="s">
        <v>1932</v>
      </c>
      <c r="O555" t="s">
        <v>1942</v>
      </c>
      <c r="P555" t="s">
        <v>2095</v>
      </c>
      <c r="Q555">
        <v>4</v>
      </c>
      <c r="T555" t="s">
        <v>2094</v>
      </c>
      <c r="U555" t="s">
        <v>311</v>
      </c>
      <c r="W555" t="s">
        <v>1934</v>
      </c>
      <c r="X555">
        <v>1</v>
      </c>
      <c r="Z555" s="5"/>
      <c r="AA555">
        <v>1</v>
      </c>
      <c r="AC555" s="5"/>
      <c r="AD555" t="s">
        <v>2340</v>
      </c>
      <c r="AE555" t="s">
        <v>2341</v>
      </c>
    </row>
    <row r="556" spans="1:31" hidden="1" x14ac:dyDescent="0.25">
      <c r="A556">
        <v>366</v>
      </c>
      <c r="C556" t="s">
        <v>825</v>
      </c>
      <c r="D556" t="s">
        <v>19</v>
      </c>
      <c r="E556" t="s">
        <v>109</v>
      </c>
      <c r="F556">
        <v>1728.9380000000001</v>
      </c>
      <c r="G556">
        <v>1739.691</v>
      </c>
      <c r="H556" s="3" t="s">
        <v>863</v>
      </c>
      <c r="I556" t="s">
        <v>1932</v>
      </c>
      <c r="J556" t="s">
        <v>1943</v>
      </c>
      <c r="U556" t="s">
        <v>864</v>
      </c>
    </row>
    <row r="557" spans="1:31" hidden="1" x14ac:dyDescent="0.25">
      <c r="A557">
        <v>645</v>
      </c>
      <c r="C557" t="s">
        <v>1426</v>
      </c>
      <c r="D557" t="s">
        <v>47</v>
      </c>
      <c r="E557" t="s">
        <v>29</v>
      </c>
      <c r="F557">
        <v>967.22</v>
      </c>
      <c r="G557">
        <v>976.05499999999995</v>
      </c>
      <c r="H557" s="3" t="s">
        <v>1449</v>
      </c>
      <c r="I557" t="s">
        <v>1934</v>
      </c>
      <c r="L557" t="s">
        <v>1932</v>
      </c>
      <c r="M557" t="s">
        <v>1932</v>
      </c>
      <c r="N557" t="s">
        <v>1932</v>
      </c>
      <c r="O557" t="s">
        <v>1936</v>
      </c>
      <c r="P557" t="s">
        <v>1934</v>
      </c>
      <c r="Q557">
        <v>1</v>
      </c>
      <c r="T557" t="s">
        <v>2117</v>
      </c>
      <c r="U557" t="s">
        <v>1450</v>
      </c>
    </row>
    <row r="558" spans="1:31" hidden="1" x14ac:dyDescent="0.25">
      <c r="A558">
        <v>368</v>
      </c>
      <c r="C558" t="s">
        <v>825</v>
      </c>
      <c r="D558" t="s">
        <v>19</v>
      </c>
      <c r="E558" t="s">
        <v>115</v>
      </c>
      <c r="F558">
        <v>1909.402</v>
      </c>
      <c r="G558">
        <v>1917.9549999999999</v>
      </c>
      <c r="H558" s="3" t="s">
        <v>867</v>
      </c>
      <c r="I558" t="s">
        <v>1932</v>
      </c>
      <c r="J558" t="s">
        <v>1954</v>
      </c>
      <c r="U558" t="s">
        <v>868</v>
      </c>
    </row>
    <row r="559" spans="1:31" hidden="1" x14ac:dyDescent="0.25">
      <c r="A559">
        <v>369</v>
      </c>
      <c r="C559" t="s">
        <v>825</v>
      </c>
      <c r="D559" t="s">
        <v>19</v>
      </c>
      <c r="E559" t="s">
        <v>178</v>
      </c>
      <c r="F559">
        <v>2219.8290000000002</v>
      </c>
      <c r="G559">
        <v>2232.4</v>
      </c>
      <c r="H559" s="3" t="s">
        <v>869</v>
      </c>
      <c r="I559" t="s">
        <v>1932</v>
      </c>
      <c r="J559" t="s">
        <v>1947</v>
      </c>
      <c r="K559" t="s">
        <v>2165</v>
      </c>
      <c r="U559" t="s">
        <v>870</v>
      </c>
    </row>
    <row r="560" spans="1:31" hidden="1" x14ac:dyDescent="0.25">
      <c r="A560">
        <v>384</v>
      </c>
      <c r="C560" t="s">
        <v>825</v>
      </c>
      <c r="D560" t="s">
        <v>47</v>
      </c>
      <c r="E560" t="s">
        <v>20</v>
      </c>
      <c r="F560">
        <v>2219.8290000000002</v>
      </c>
      <c r="G560">
        <v>2232.4</v>
      </c>
      <c r="H560" s="3" t="s">
        <v>899</v>
      </c>
      <c r="I560" t="s">
        <v>1932</v>
      </c>
      <c r="J560" t="s">
        <v>1947</v>
      </c>
      <c r="K560" t="s">
        <v>2164</v>
      </c>
      <c r="U560" t="s">
        <v>870</v>
      </c>
    </row>
    <row r="561" spans="1:31" hidden="1" x14ac:dyDescent="0.25">
      <c r="A561">
        <v>127</v>
      </c>
      <c r="B561" t="s">
        <v>2280</v>
      </c>
      <c r="C561" t="s">
        <v>281</v>
      </c>
      <c r="D561" t="s">
        <v>118</v>
      </c>
      <c r="E561" t="s">
        <v>100</v>
      </c>
      <c r="F561">
        <v>2989.6480000000001</v>
      </c>
      <c r="G561">
        <v>2998.1239999999998</v>
      </c>
      <c r="H561" s="3" t="s">
        <v>316</v>
      </c>
      <c r="I561" t="s">
        <v>1934</v>
      </c>
      <c r="L561" t="s">
        <v>1932</v>
      </c>
      <c r="M561" t="s">
        <v>1932</v>
      </c>
      <c r="N561" t="s">
        <v>1932</v>
      </c>
      <c r="O561" t="s">
        <v>1942</v>
      </c>
      <c r="P561" t="s">
        <v>2095</v>
      </c>
      <c r="Q561">
        <v>4</v>
      </c>
      <c r="T561" t="s">
        <v>2097</v>
      </c>
      <c r="U561" t="s">
        <v>317</v>
      </c>
      <c r="W561" t="s">
        <v>1934</v>
      </c>
      <c r="X561">
        <v>1</v>
      </c>
      <c r="Z561" s="5"/>
      <c r="AA561">
        <v>1</v>
      </c>
      <c r="AC561" s="5"/>
      <c r="AD561">
        <v>2</v>
      </c>
      <c r="AE561" t="s">
        <v>2341</v>
      </c>
    </row>
    <row r="562" spans="1:31" hidden="1" x14ac:dyDescent="0.25">
      <c r="A562">
        <v>370</v>
      </c>
      <c r="C562" t="s">
        <v>825</v>
      </c>
      <c r="D562" t="s">
        <v>19</v>
      </c>
      <c r="E562" t="s">
        <v>181</v>
      </c>
      <c r="F562">
        <v>2224.4650000000001</v>
      </c>
      <c r="G562">
        <v>2235.971</v>
      </c>
      <c r="H562" s="3" t="s">
        <v>871</v>
      </c>
      <c r="I562" t="s">
        <v>1932</v>
      </c>
      <c r="J562" t="s">
        <v>2101</v>
      </c>
      <c r="K562" t="s">
        <v>2163</v>
      </c>
      <c r="U562" t="s">
        <v>872</v>
      </c>
    </row>
    <row r="563" spans="1:31" hidden="1" x14ac:dyDescent="0.25">
      <c r="A563">
        <v>371</v>
      </c>
      <c r="C563" t="s">
        <v>825</v>
      </c>
      <c r="D563" t="s">
        <v>19</v>
      </c>
      <c r="E563" t="s">
        <v>184</v>
      </c>
      <c r="F563">
        <v>2450.2579999999998</v>
      </c>
      <c r="G563">
        <v>2459.1660000000002</v>
      </c>
      <c r="H563" s="3" t="s">
        <v>873</v>
      </c>
      <c r="I563" t="s">
        <v>1932</v>
      </c>
      <c r="J563" t="s">
        <v>2101</v>
      </c>
      <c r="K563" t="s">
        <v>2176</v>
      </c>
      <c r="U563" t="s">
        <v>874</v>
      </c>
    </row>
    <row r="564" spans="1:31" hidden="1" x14ac:dyDescent="0.25">
      <c r="A564">
        <v>372</v>
      </c>
      <c r="C564" t="s">
        <v>825</v>
      </c>
      <c r="D564" t="s">
        <v>19</v>
      </c>
      <c r="E564" t="s">
        <v>187</v>
      </c>
      <c r="F564">
        <v>2451.8409999999999</v>
      </c>
      <c r="G564">
        <v>2460.3719999999998</v>
      </c>
      <c r="H564" s="3" t="s">
        <v>875</v>
      </c>
      <c r="I564" t="s">
        <v>1932</v>
      </c>
      <c r="J564" t="s">
        <v>2101</v>
      </c>
      <c r="K564" t="s">
        <v>2177</v>
      </c>
      <c r="U564" t="s">
        <v>876</v>
      </c>
    </row>
    <row r="565" spans="1:31" hidden="1" x14ac:dyDescent="0.25">
      <c r="A565">
        <v>653</v>
      </c>
      <c r="B565" t="s">
        <v>2377</v>
      </c>
      <c r="C565" t="s">
        <v>1426</v>
      </c>
      <c r="D565" t="s">
        <v>47</v>
      </c>
      <c r="E565" t="s">
        <v>91</v>
      </c>
      <c r="F565">
        <v>1971.653</v>
      </c>
      <c r="G565">
        <v>1980.47</v>
      </c>
      <c r="H565" s="3" t="s">
        <v>1465</v>
      </c>
      <c r="I565" t="s">
        <v>1934</v>
      </c>
      <c r="L565" t="s">
        <v>1932</v>
      </c>
      <c r="M565" t="s">
        <v>1932</v>
      </c>
      <c r="N565" t="s">
        <v>1932</v>
      </c>
      <c r="O565" t="s">
        <v>1942</v>
      </c>
      <c r="P565" t="s">
        <v>1934</v>
      </c>
      <c r="Q565">
        <v>4</v>
      </c>
      <c r="R565" t="s">
        <v>2150</v>
      </c>
      <c r="T565" t="s">
        <v>2155</v>
      </c>
      <c r="U565" t="s">
        <v>1466</v>
      </c>
    </row>
    <row r="566" spans="1:31" hidden="1" x14ac:dyDescent="0.25">
      <c r="A566">
        <v>373</v>
      </c>
      <c r="C566" t="s">
        <v>825</v>
      </c>
      <c r="D566" t="s">
        <v>19</v>
      </c>
      <c r="E566" t="s">
        <v>190</v>
      </c>
      <c r="F566">
        <v>2453.9169999999999</v>
      </c>
      <c r="G566">
        <v>2462.4639999999999</v>
      </c>
      <c r="H566" s="3" t="s">
        <v>877</v>
      </c>
      <c r="I566" t="s">
        <v>1932</v>
      </c>
      <c r="J566" t="s">
        <v>2101</v>
      </c>
      <c r="K566" t="s">
        <v>2178</v>
      </c>
      <c r="U566" t="s">
        <v>878</v>
      </c>
    </row>
    <row r="567" spans="1:31" hidden="1" x14ac:dyDescent="0.25">
      <c r="A567">
        <v>563</v>
      </c>
      <c r="B567" t="s">
        <v>2287</v>
      </c>
      <c r="C567" t="s">
        <v>1238</v>
      </c>
      <c r="D567" t="s">
        <v>118</v>
      </c>
      <c r="E567" t="s">
        <v>29</v>
      </c>
      <c r="F567">
        <v>1541.047</v>
      </c>
      <c r="G567">
        <v>1550.9690000000001</v>
      </c>
      <c r="H567" s="3" t="s">
        <v>1268</v>
      </c>
      <c r="I567" t="s">
        <v>1934</v>
      </c>
      <c r="J567" t="s">
        <v>2054</v>
      </c>
      <c r="L567" t="s">
        <v>1932</v>
      </c>
      <c r="M567" t="s">
        <v>1932</v>
      </c>
      <c r="N567" t="s">
        <v>1932</v>
      </c>
      <c r="O567" t="s">
        <v>1936</v>
      </c>
      <c r="P567" t="s">
        <v>2095</v>
      </c>
      <c r="Q567">
        <v>4</v>
      </c>
      <c r="T567" t="s">
        <v>2136</v>
      </c>
      <c r="U567" t="s">
        <v>1269</v>
      </c>
      <c r="V567" t="s">
        <v>1241</v>
      </c>
      <c r="W567" t="s">
        <v>2362</v>
      </c>
      <c r="X567">
        <v>1</v>
      </c>
      <c r="Y567" t="s">
        <v>2300</v>
      </c>
      <c r="AA567">
        <v>1</v>
      </c>
      <c r="AD567">
        <v>1</v>
      </c>
      <c r="AE567" t="s">
        <v>2312</v>
      </c>
    </row>
    <row r="568" spans="1:31" hidden="1" x14ac:dyDescent="0.25">
      <c r="A568">
        <v>374</v>
      </c>
      <c r="C568" t="s">
        <v>825</v>
      </c>
      <c r="D568" t="s">
        <v>19</v>
      </c>
      <c r="E568" t="s">
        <v>193</v>
      </c>
      <c r="F568">
        <v>2492.3209999999999</v>
      </c>
      <c r="G568">
        <v>2501.607</v>
      </c>
      <c r="H568" s="3" t="s">
        <v>879</v>
      </c>
      <c r="I568" t="s">
        <v>1932</v>
      </c>
      <c r="J568" t="s">
        <v>1952</v>
      </c>
      <c r="U568" t="s">
        <v>880</v>
      </c>
    </row>
    <row r="569" spans="1:31" hidden="1" x14ac:dyDescent="0.25">
      <c r="A569">
        <v>375</v>
      </c>
      <c r="C569" t="s">
        <v>825</v>
      </c>
      <c r="D569" t="s">
        <v>19</v>
      </c>
      <c r="E569" t="s">
        <v>581</v>
      </c>
      <c r="F569">
        <v>2516.4720000000002</v>
      </c>
      <c r="G569">
        <v>2527.8580000000002</v>
      </c>
      <c r="H569" s="3" t="s">
        <v>881</v>
      </c>
      <c r="I569" t="s">
        <v>1932</v>
      </c>
      <c r="J569" t="s">
        <v>2101</v>
      </c>
      <c r="U569" t="s">
        <v>882</v>
      </c>
    </row>
    <row r="570" spans="1:31" hidden="1" x14ac:dyDescent="0.25">
      <c r="A570">
        <v>377</v>
      </c>
      <c r="C570" t="s">
        <v>825</v>
      </c>
      <c r="D570" t="s">
        <v>19</v>
      </c>
      <c r="E570" t="s">
        <v>587</v>
      </c>
      <c r="F570">
        <v>2603.1280000000002</v>
      </c>
      <c r="G570">
        <v>2611.6509999999998</v>
      </c>
      <c r="H570" s="3" t="s">
        <v>885</v>
      </c>
      <c r="I570" t="s">
        <v>1932</v>
      </c>
      <c r="J570" t="s">
        <v>2101</v>
      </c>
      <c r="U570" t="s">
        <v>886</v>
      </c>
    </row>
    <row r="571" spans="1:31" hidden="1" x14ac:dyDescent="0.25">
      <c r="A571">
        <v>378</v>
      </c>
      <c r="C571" t="s">
        <v>825</v>
      </c>
      <c r="D571" t="s">
        <v>19</v>
      </c>
      <c r="E571" t="s">
        <v>590</v>
      </c>
      <c r="F571">
        <v>2671.43</v>
      </c>
      <c r="G571">
        <v>2680.7170000000001</v>
      </c>
      <c r="H571" s="3" t="s">
        <v>887</v>
      </c>
      <c r="I571" t="s">
        <v>1932</v>
      </c>
      <c r="J571" t="s">
        <v>2101</v>
      </c>
      <c r="U571" t="s">
        <v>888</v>
      </c>
    </row>
    <row r="572" spans="1:31" hidden="1" x14ac:dyDescent="0.25">
      <c r="A572">
        <v>658</v>
      </c>
      <c r="C572" t="s">
        <v>1426</v>
      </c>
      <c r="D572" t="s">
        <v>47</v>
      </c>
      <c r="E572" t="s">
        <v>106</v>
      </c>
      <c r="F572">
        <v>3200.259</v>
      </c>
      <c r="G572">
        <v>3209.105</v>
      </c>
      <c r="H572" s="3" t="s">
        <v>1475</v>
      </c>
      <c r="I572" t="s">
        <v>1934</v>
      </c>
      <c r="L572" t="s">
        <v>1932</v>
      </c>
      <c r="M572" t="s">
        <v>1932</v>
      </c>
      <c r="N572" t="s">
        <v>1932</v>
      </c>
      <c r="O572" t="s">
        <v>1942</v>
      </c>
      <c r="P572" t="s">
        <v>1934</v>
      </c>
      <c r="Q572">
        <v>1</v>
      </c>
      <c r="T572" t="s">
        <v>2203</v>
      </c>
      <c r="U572" t="s">
        <v>1476</v>
      </c>
    </row>
    <row r="573" spans="1:31" hidden="1" x14ac:dyDescent="0.25">
      <c r="A573">
        <v>379</v>
      </c>
      <c r="C573" t="s">
        <v>825</v>
      </c>
      <c r="D573" t="s">
        <v>19</v>
      </c>
      <c r="E573" t="s">
        <v>593</v>
      </c>
      <c r="F573">
        <v>2698.623</v>
      </c>
      <c r="G573">
        <v>2708.1840000000002</v>
      </c>
      <c r="H573" s="3" t="s">
        <v>889</v>
      </c>
      <c r="I573" t="s">
        <v>1932</v>
      </c>
      <c r="J573" t="s">
        <v>2101</v>
      </c>
      <c r="U573" t="s">
        <v>890</v>
      </c>
    </row>
    <row r="574" spans="1:31" hidden="1" x14ac:dyDescent="0.25">
      <c r="A574">
        <v>380</v>
      </c>
      <c r="C574" t="s">
        <v>825</v>
      </c>
      <c r="D574" t="s">
        <v>19</v>
      </c>
      <c r="E574" t="s">
        <v>596</v>
      </c>
      <c r="F574">
        <v>2756.96</v>
      </c>
      <c r="G574">
        <v>2768.462</v>
      </c>
      <c r="H574" s="3" t="s">
        <v>891</v>
      </c>
      <c r="I574" t="s">
        <v>1932</v>
      </c>
      <c r="J574" t="s">
        <v>1952</v>
      </c>
      <c r="U574" t="s">
        <v>892</v>
      </c>
    </row>
    <row r="575" spans="1:31" hidden="1" x14ac:dyDescent="0.25">
      <c r="A575">
        <v>381</v>
      </c>
      <c r="C575" t="s">
        <v>825</v>
      </c>
      <c r="D575" t="s">
        <v>19</v>
      </c>
      <c r="E575" t="s">
        <v>599</v>
      </c>
      <c r="F575">
        <v>2938.181</v>
      </c>
      <c r="G575">
        <v>2948.029</v>
      </c>
      <c r="H575" s="3" t="s">
        <v>893</v>
      </c>
      <c r="I575" t="s">
        <v>1932</v>
      </c>
      <c r="J575" t="s">
        <v>1943</v>
      </c>
      <c r="U575" t="s">
        <v>894</v>
      </c>
    </row>
    <row r="576" spans="1:31" hidden="1" x14ac:dyDescent="0.25">
      <c r="A576">
        <v>382</v>
      </c>
      <c r="C576" t="s">
        <v>825</v>
      </c>
      <c r="D576" t="s">
        <v>19</v>
      </c>
      <c r="E576" t="s">
        <v>602</v>
      </c>
      <c r="F576">
        <v>3189.7840000000001</v>
      </c>
      <c r="G576">
        <v>3199.2640000000001</v>
      </c>
      <c r="H576" s="3" t="s">
        <v>895</v>
      </c>
      <c r="I576" t="s">
        <v>1932</v>
      </c>
      <c r="J576" t="s">
        <v>1957</v>
      </c>
      <c r="U576" t="s">
        <v>896</v>
      </c>
    </row>
    <row r="577" spans="1:21" x14ac:dyDescent="0.25">
      <c r="A577">
        <v>662</v>
      </c>
      <c r="C577" t="s">
        <v>1477</v>
      </c>
      <c r="D577" t="s">
        <v>118</v>
      </c>
      <c r="E577" t="s">
        <v>20</v>
      </c>
      <c r="F577">
        <v>1375.3</v>
      </c>
      <c r="G577">
        <v>1384.6120000000001</v>
      </c>
      <c r="H577" s="3" t="s">
        <v>1484</v>
      </c>
      <c r="I577" t="s">
        <v>1934</v>
      </c>
      <c r="J577" t="s">
        <v>2126</v>
      </c>
      <c r="L577" t="s">
        <v>1932</v>
      </c>
      <c r="M577" t="s">
        <v>1932</v>
      </c>
      <c r="N577" t="s">
        <v>1932</v>
      </c>
      <c r="O577" t="s">
        <v>1942</v>
      </c>
      <c r="P577" t="s">
        <v>2095</v>
      </c>
      <c r="Q577">
        <v>4</v>
      </c>
      <c r="T577" t="s">
        <v>2127</v>
      </c>
      <c r="U577" t="s">
        <v>1485</v>
      </c>
    </row>
    <row r="578" spans="1:21" hidden="1" x14ac:dyDescent="0.25">
      <c r="A578">
        <v>470</v>
      </c>
      <c r="C578" t="s">
        <v>1063</v>
      </c>
      <c r="D578" t="s">
        <v>118</v>
      </c>
      <c r="E578" t="s">
        <v>20</v>
      </c>
      <c r="F578">
        <v>377.83499999999998</v>
      </c>
      <c r="G578">
        <v>388.584</v>
      </c>
      <c r="H578" s="3" t="s">
        <v>1070</v>
      </c>
      <c r="I578" t="s">
        <v>1932</v>
      </c>
      <c r="J578" t="s">
        <v>1948</v>
      </c>
      <c r="U578" t="s">
        <v>1071</v>
      </c>
    </row>
    <row r="579" spans="1:21" hidden="1" x14ac:dyDescent="0.25">
      <c r="A579">
        <v>471</v>
      </c>
      <c r="C579" t="s">
        <v>1063</v>
      </c>
      <c r="D579" t="s">
        <v>118</v>
      </c>
      <c r="E579" t="s">
        <v>23</v>
      </c>
      <c r="F579">
        <v>1007.567</v>
      </c>
      <c r="G579">
        <v>1017.976</v>
      </c>
      <c r="H579" s="3" t="s">
        <v>1072</v>
      </c>
      <c r="I579" t="s">
        <v>1932</v>
      </c>
      <c r="J579" t="s">
        <v>1957</v>
      </c>
      <c r="U579" t="s">
        <v>1073</v>
      </c>
    </row>
    <row r="580" spans="1:21" hidden="1" x14ac:dyDescent="0.25">
      <c r="A580">
        <v>468</v>
      </c>
      <c r="C580" t="s">
        <v>1063</v>
      </c>
      <c r="D580" t="s">
        <v>19</v>
      </c>
      <c r="E580" t="s">
        <v>23</v>
      </c>
      <c r="F580">
        <v>1746.67</v>
      </c>
      <c r="G580">
        <v>1755.9680000000001</v>
      </c>
      <c r="H580" s="3" t="s">
        <v>1066</v>
      </c>
      <c r="I580" t="s">
        <v>1932</v>
      </c>
      <c r="J580" t="s">
        <v>2101</v>
      </c>
      <c r="U580" t="s">
        <v>1067</v>
      </c>
    </row>
    <row r="581" spans="1:21" hidden="1" x14ac:dyDescent="0.25">
      <c r="A581">
        <v>472</v>
      </c>
      <c r="C581" t="s">
        <v>1063</v>
      </c>
      <c r="D581" t="s">
        <v>118</v>
      </c>
      <c r="E581" t="s">
        <v>26</v>
      </c>
      <c r="F581">
        <v>3003.7840000000001</v>
      </c>
      <c r="G581">
        <v>3014.4</v>
      </c>
      <c r="H581" s="3" t="s">
        <v>1074</v>
      </c>
      <c r="I581" t="s">
        <v>1932</v>
      </c>
      <c r="J581" t="s">
        <v>1947</v>
      </c>
      <c r="U581" t="s">
        <v>1075</v>
      </c>
    </row>
    <row r="582" spans="1:21" hidden="1" x14ac:dyDescent="0.25">
      <c r="A582">
        <v>469</v>
      </c>
      <c r="C582" t="s">
        <v>1063</v>
      </c>
      <c r="D582" t="s">
        <v>19</v>
      </c>
      <c r="E582" t="s">
        <v>26</v>
      </c>
      <c r="F582">
        <v>3181.3150000000001</v>
      </c>
      <c r="G582">
        <v>3190.8150000000001</v>
      </c>
      <c r="H582" s="3" t="s">
        <v>1068</v>
      </c>
      <c r="I582" t="s">
        <v>1932</v>
      </c>
      <c r="J582" t="s">
        <v>2106</v>
      </c>
      <c r="U582" t="s">
        <v>1069</v>
      </c>
    </row>
    <row r="583" spans="1:21" hidden="1" x14ac:dyDescent="0.25">
      <c r="A583">
        <v>811</v>
      </c>
      <c r="C583" t="s">
        <v>1797</v>
      </c>
      <c r="D583" t="s">
        <v>19</v>
      </c>
      <c r="E583" t="s">
        <v>20</v>
      </c>
      <c r="F583">
        <v>254.85400000000001</v>
      </c>
      <c r="G583">
        <v>264.12599999999998</v>
      </c>
      <c r="H583" s="3" t="s">
        <v>1798</v>
      </c>
      <c r="I583" t="s">
        <v>1932</v>
      </c>
      <c r="J583" t="s">
        <v>2054</v>
      </c>
      <c r="U583" t="s">
        <v>1799</v>
      </c>
    </row>
    <row r="584" spans="1:21" x14ac:dyDescent="0.25">
      <c r="A584">
        <v>666</v>
      </c>
      <c r="C584" t="s">
        <v>1477</v>
      </c>
      <c r="D584" t="s">
        <v>118</v>
      </c>
      <c r="E584" t="s">
        <v>32</v>
      </c>
      <c r="F584">
        <v>3497.0369999999998</v>
      </c>
      <c r="G584">
        <v>3507.223</v>
      </c>
      <c r="H584" s="3" t="s">
        <v>1492</v>
      </c>
      <c r="I584" t="s">
        <v>1934</v>
      </c>
      <c r="L584" t="s">
        <v>1932</v>
      </c>
      <c r="M584" t="s">
        <v>1932</v>
      </c>
      <c r="N584" t="s">
        <v>1932</v>
      </c>
      <c r="O584" t="s">
        <v>1936</v>
      </c>
      <c r="P584" t="s">
        <v>2095</v>
      </c>
      <c r="Q584">
        <v>4</v>
      </c>
      <c r="S584" t="s">
        <v>2216</v>
      </c>
      <c r="T584" t="s">
        <v>2217</v>
      </c>
      <c r="U584" t="s">
        <v>1493</v>
      </c>
    </row>
    <row r="585" spans="1:21" hidden="1" x14ac:dyDescent="0.25">
      <c r="A585">
        <v>812</v>
      </c>
      <c r="C585" t="s">
        <v>1797</v>
      </c>
      <c r="D585" t="s">
        <v>19</v>
      </c>
      <c r="E585" t="s">
        <v>23</v>
      </c>
      <c r="F585">
        <v>841.20100000000002</v>
      </c>
      <c r="G585">
        <v>850.34199999999998</v>
      </c>
      <c r="H585" s="3" t="s">
        <v>1800</v>
      </c>
      <c r="I585" t="s">
        <v>1932</v>
      </c>
      <c r="J585" t="s">
        <v>1940</v>
      </c>
      <c r="U585" t="s">
        <v>1801</v>
      </c>
    </row>
    <row r="586" spans="1:21" hidden="1" x14ac:dyDescent="0.25">
      <c r="A586">
        <v>815</v>
      </c>
      <c r="C586" t="s">
        <v>1797</v>
      </c>
      <c r="D586" t="s">
        <v>118</v>
      </c>
      <c r="E586" t="s">
        <v>20</v>
      </c>
      <c r="F586">
        <v>1241.077</v>
      </c>
      <c r="G586">
        <v>1249.778</v>
      </c>
      <c r="H586" s="3" t="s">
        <v>1806</v>
      </c>
      <c r="I586" t="s">
        <v>1932</v>
      </c>
      <c r="J586" t="s">
        <v>2101</v>
      </c>
      <c r="U586" t="s">
        <v>1807</v>
      </c>
    </row>
    <row r="587" spans="1:21" hidden="1" x14ac:dyDescent="0.25">
      <c r="A587">
        <v>813</v>
      </c>
      <c r="C587" t="s">
        <v>1797</v>
      </c>
      <c r="D587" t="s">
        <v>19</v>
      </c>
      <c r="E587" t="s">
        <v>26</v>
      </c>
      <c r="F587">
        <v>1412.866</v>
      </c>
      <c r="G587">
        <v>1423.9169999999999</v>
      </c>
      <c r="H587" s="3" t="s">
        <v>1802</v>
      </c>
      <c r="I587" t="s">
        <v>1932</v>
      </c>
      <c r="J587" t="s">
        <v>1947</v>
      </c>
      <c r="U587" t="s">
        <v>1803</v>
      </c>
    </row>
    <row r="588" spans="1:21" hidden="1" x14ac:dyDescent="0.25">
      <c r="A588">
        <v>814</v>
      </c>
      <c r="C588" t="s">
        <v>1797</v>
      </c>
      <c r="D588" t="s">
        <v>19</v>
      </c>
      <c r="E588" t="s">
        <v>29</v>
      </c>
      <c r="F588">
        <v>1623.587</v>
      </c>
      <c r="G588">
        <v>1634.7329999999999</v>
      </c>
      <c r="H588" s="3" t="s">
        <v>1804</v>
      </c>
      <c r="I588" t="s">
        <v>1932</v>
      </c>
      <c r="J588" t="s">
        <v>2101</v>
      </c>
      <c r="U588" t="s">
        <v>1805</v>
      </c>
    </row>
    <row r="589" spans="1:21" hidden="1" x14ac:dyDescent="0.25">
      <c r="A589">
        <v>667</v>
      </c>
      <c r="C589" t="s">
        <v>1477</v>
      </c>
      <c r="D589" t="s">
        <v>47</v>
      </c>
      <c r="E589" t="s">
        <v>20</v>
      </c>
      <c r="F589">
        <v>434.39400000000001</v>
      </c>
      <c r="G589">
        <v>442.94</v>
      </c>
      <c r="H589" s="3" t="s">
        <v>1494</v>
      </c>
      <c r="I589" t="s">
        <v>1934</v>
      </c>
      <c r="T589" t="s">
        <v>2056</v>
      </c>
      <c r="U589" t="s">
        <v>1495</v>
      </c>
    </row>
    <row r="590" spans="1:21" hidden="1" x14ac:dyDescent="0.25">
      <c r="A590">
        <v>474</v>
      </c>
      <c r="C590" t="s">
        <v>1076</v>
      </c>
      <c r="D590" t="s">
        <v>19</v>
      </c>
      <c r="E590" t="s">
        <v>23</v>
      </c>
      <c r="F590">
        <v>531.524</v>
      </c>
      <c r="G590">
        <v>542.02499999999998</v>
      </c>
      <c r="H590" s="3" t="s">
        <v>1079</v>
      </c>
      <c r="I590" t="s">
        <v>1932</v>
      </c>
      <c r="J590" t="s">
        <v>1950</v>
      </c>
      <c r="K590">
        <v>486</v>
      </c>
      <c r="U590" t="s">
        <v>1080</v>
      </c>
    </row>
    <row r="591" spans="1:21" hidden="1" x14ac:dyDescent="0.25">
      <c r="A591">
        <v>486</v>
      </c>
      <c r="C591" t="s">
        <v>1076</v>
      </c>
      <c r="D591" t="s">
        <v>118</v>
      </c>
      <c r="E591" t="s">
        <v>20</v>
      </c>
      <c r="F591">
        <v>531.524</v>
      </c>
      <c r="G591">
        <v>542.02499999999998</v>
      </c>
      <c r="H591" s="3" t="s">
        <v>1103</v>
      </c>
      <c r="I591" t="s">
        <v>1932</v>
      </c>
      <c r="J591" t="s">
        <v>1950</v>
      </c>
      <c r="K591">
        <v>474</v>
      </c>
      <c r="U591" t="s">
        <v>1080</v>
      </c>
    </row>
    <row r="592" spans="1:21" hidden="1" x14ac:dyDescent="0.25">
      <c r="A592">
        <v>476</v>
      </c>
      <c r="C592" t="s">
        <v>1076</v>
      </c>
      <c r="D592" t="s">
        <v>19</v>
      </c>
      <c r="E592" t="s">
        <v>29</v>
      </c>
      <c r="F592">
        <v>681.08100000000002</v>
      </c>
      <c r="G592">
        <v>692.12</v>
      </c>
      <c r="H592" s="3" t="s">
        <v>1083</v>
      </c>
      <c r="I592" t="s">
        <v>1932</v>
      </c>
      <c r="J592" t="s">
        <v>1957</v>
      </c>
      <c r="U592" t="s">
        <v>1084</v>
      </c>
    </row>
    <row r="593" spans="1:31" hidden="1" x14ac:dyDescent="0.25">
      <c r="A593">
        <v>477</v>
      </c>
      <c r="C593" t="s">
        <v>1076</v>
      </c>
      <c r="D593" t="s">
        <v>19</v>
      </c>
      <c r="E593" t="s">
        <v>32</v>
      </c>
      <c r="F593">
        <v>1650.3689999999999</v>
      </c>
      <c r="G593">
        <v>1661.0809999999999</v>
      </c>
      <c r="H593" s="3" t="s">
        <v>1085</v>
      </c>
      <c r="I593" t="s">
        <v>1932</v>
      </c>
      <c r="J593" t="s">
        <v>1954</v>
      </c>
      <c r="U593" t="s">
        <v>1086</v>
      </c>
    </row>
    <row r="594" spans="1:31" hidden="1" x14ac:dyDescent="0.25">
      <c r="A594">
        <v>478</v>
      </c>
      <c r="C594" t="s">
        <v>1076</v>
      </c>
      <c r="D594" t="s">
        <v>19</v>
      </c>
      <c r="E594" t="s">
        <v>35</v>
      </c>
      <c r="F594">
        <v>1744.77</v>
      </c>
      <c r="G594">
        <v>1753.37</v>
      </c>
      <c r="H594" s="3" t="s">
        <v>1087</v>
      </c>
      <c r="I594" t="s">
        <v>1932</v>
      </c>
      <c r="J594" t="s">
        <v>2101</v>
      </c>
      <c r="U594" t="s">
        <v>1088</v>
      </c>
    </row>
    <row r="595" spans="1:31" hidden="1" x14ac:dyDescent="0.25">
      <c r="A595">
        <v>576</v>
      </c>
      <c r="B595" t="s">
        <v>2288</v>
      </c>
      <c r="C595" t="s">
        <v>1292</v>
      </c>
      <c r="D595" t="s">
        <v>19</v>
      </c>
      <c r="E595" t="s">
        <v>23</v>
      </c>
      <c r="F595">
        <v>541.67899999999997</v>
      </c>
      <c r="G595">
        <v>554.096</v>
      </c>
      <c r="H595" s="3" t="s">
        <v>1295</v>
      </c>
      <c r="I595" t="s">
        <v>1934</v>
      </c>
      <c r="J595" t="s">
        <v>1950</v>
      </c>
      <c r="L595" t="s">
        <v>1932</v>
      </c>
      <c r="M595" t="s">
        <v>1932</v>
      </c>
      <c r="N595">
        <v>2</v>
      </c>
      <c r="O595" t="s">
        <v>1936</v>
      </c>
      <c r="P595" t="s">
        <v>1934</v>
      </c>
      <c r="Q595">
        <v>4</v>
      </c>
      <c r="T595" t="s">
        <v>2067</v>
      </c>
      <c r="U595" t="s">
        <v>1296</v>
      </c>
      <c r="V595" t="s">
        <v>1135</v>
      </c>
      <c r="W595" t="s">
        <v>1934</v>
      </c>
      <c r="X595">
        <v>1</v>
      </c>
      <c r="Z595" s="5"/>
      <c r="AA595">
        <v>1</v>
      </c>
      <c r="AC595" s="5"/>
      <c r="AD595">
        <v>2</v>
      </c>
      <c r="AE595" t="s">
        <v>2311</v>
      </c>
    </row>
    <row r="596" spans="1:31" hidden="1" x14ac:dyDescent="0.25">
      <c r="A596">
        <v>479</v>
      </c>
      <c r="C596" t="s">
        <v>1076</v>
      </c>
      <c r="D596" t="s">
        <v>19</v>
      </c>
      <c r="E596" t="s">
        <v>38</v>
      </c>
      <c r="F596">
        <v>1900.0340000000001</v>
      </c>
      <c r="G596">
        <v>1908.7270000000001</v>
      </c>
      <c r="H596" s="3" t="s">
        <v>1089</v>
      </c>
      <c r="I596" t="s">
        <v>1932</v>
      </c>
      <c r="J596" t="s">
        <v>1957</v>
      </c>
      <c r="U596" t="s">
        <v>1090</v>
      </c>
    </row>
    <row r="597" spans="1:31" hidden="1" x14ac:dyDescent="0.25">
      <c r="A597">
        <v>480</v>
      </c>
      <c r="C597" t="s">
        <v>1076</v>
      </c>
      <c r="D597" t="s">
        <v>19</v>
      </c>
      <c r="E597" t="s">
        <v>41</v>
      </c>
      <c r="F597">
        <v>2016.7919999999999</v>
      </c>
      <c r="G597">
        <v>2029.9760000000001</v>
      </c>
      <c r="H597" s="3" t="s">
        <v>1091</v>
      </c>
      <c r="I597" t="s">
        <v>1932</v>
      </c>
      <c r="L597" t="s">
        <v>1932</v>
      </c>
      <c r="M597" t="s">
        <v>1932</v>
      </c>
      <c r="N597" t="s">
        <v>1932</v>
      </c>
      <c r="O597" t="s">
        <v>1936</v>
      </c>
      <c r="P597" t="s">
        <v>1932</v>
      </c>
      <c r="Q597">
        <v>2</v>
      </c>
      <c r="T597" t="s">
        <v>2156</v>
      </c>
      <c r="U597" t="s">
        <v>1092</v>
      </c>
    </row>
    <row r="598" spans="1:31" hidden="1" x14ac:dyDescent="0.25">
      <c r="A598">
        <v>481</v>
      </c>
      <c r="C598" t="s">
        <v>1076</v>
      </c>
      <c r="D598" t="s">
        <v>19</v>
      </c>
      <c r="E598" t="s">
        <v>44</v>
      </c>
      <c r="F598">
        <v>2083.913</v>
      </c>
      <c r="G598">
        <v>2095.3229999999999</v>
      </c>
      <c r="H598" s="3" t="s">
        <v>1093</v>
      </c>
      <c r="I598" t="s">
        <v>1932</v>
      </c>
      <c r="J598" t="s">
        <v>2125</v>
      </c>
      <c r="U598" t="s">
        <v>1094</v>
      </c>
    </row>
    <row r="599" spans="1:31" hidden="1" x14ac:dyDescent="0.25">
      <c r="A599">
        <v>482</v>
      </c>
      <c r="C599" t="s">
        <v>1076</v>
      </c>
      <c r="D599" t="s">
        <v>19</v>
      </c>
      <c r="E599" t="s">
        <v>85</v>
      </c>
      <c r="F599">
        <v>2161.578</v>
      </c>
      <c r="G599">
        <v>2172.2179999999998</v>
      </c>
      <c r="H599" s="3" t="s">
        <v>1095</v>
      </c>
      <c r="I599" t="s">
        <v>1932</v>
      </c>
      <c r="J599" t="s">
        <v>2101</v>
      </c>
      <c r="U599" t="s">
        <v>1096</v>
      </c>
    </row>
    <row r="600" spans="1:31" hidden="1" x14ac:dyDescent="0.25">
      <c r="A600">
        <v>483</v>
      </c>
      <c r="C600" t="s">
        <v>1076</v>
      </c>
      <c r="D600" t="s">
        <v>19</v>
      </c>
      <c r="E600" t="s">
        <v>88</v>
      </c>
      <c r="F600">
        <v>2380.491</v>
      </c>
      <c r="G600">
        <v>2392.6410000000001</v>
      </c>
      <c r="H600" s="3" t="s">
        <v>1097</v>
      </c>
      <c r="I600" t="s">
        <v>1932</v>
      </c>
      <c r="J600" t="s">
        <v>1957</v>
      </c>
      <c r="K600">
        <v>487</v>
      </c>
      <c r="U600" t="s">
        <v>1098</v>
      </c>
    </row>
    <row r="601" spans="1:31" hidden="1" x14ac:dyDescent="0.25">
      <c r="A601">
        <v>487</v>
      </c>
      <c r="C601" t="s">
        <v>1076</v>
      </c>
      <c r="D601" t="s">
        <v>118</v>
      </c>
      <c r="E601" t="s">
        <v>23</v>
      </c>
      <c r="F601">
        <v>2380.491</v>
      </c>
      <c r="G601">
        <v>2392.6410000000001</v>
      </c>
      <c r="H601" s="3" t="s">
        <v>1104</v>
      </c>
      <c r="I601" t="s">
        <v>1932</v>
      </c>
      <c r="J601" t="s">
        <v>1957</v>
      </c>
      <c r="K601">
        <v>483</v>
      </c>
      <c r="U601" t="s">
        <v>1098</v>
      </c>
    </row>
    <row r="602" spans="1:31" hidden="1" x14ac:dyDescent="0.25">
      <c r="A602">
        <v>485</v>
      </c>
      <c r="C602" t="s">
        <v>1076</v>
      </c>
      <c r="D602" t="s">
        <v>19</v>
      </c>
      <c r="E602" t="s">
        <v>94</v>
      </c>
      <c r="F602">
        <v>3223.498</v>
      </c>
      <c r="G602">
        <v>3233.6489999999999</v>
      </c>
      <c r="H602" s="3" t="s">
        <v>1101</v>
      </c>
      <c r="I602" t="s">
        <v>1932</v>
      </c>
      <c r="J602" t="s">
        <v>2106</v>
      </c>
      <c r="U602" t="s">
        <v>1102</v>
      </c>
    </row>
    <row r="603" spans="1:31" hidden="1" x14ac:dyDescent="0.25">
      <c r="A603">
        <v>671</v>
      </c>
      <c r="C603" t="s">
        <v>1477</v>
      </c>
      <c r="D603" t="s">
        <v>47</v>
      </c>
      <c r="E603" t="s">
        <v>32</v>
      </c>
      <c r="F603">
        <v>1521.6320000000001</v>
      </c>
      <c r="G603">
        <v>1533.6110000000001</v>
      </c>
      <c r="H603" s="3" t="s">
        <v>1502</v>
      </c>
      <c r="I603" t="s">
        <v>1934</v>
      </c>
      <c r="L603" t="s">
        <v>1935</v>
      </c>
      <c r="M603" t="s">
        <v>1932</v>
      </c>
      <c r="N603" t="s">
        <v>1932</v>
      </c>
      <c r="O603" t="s">
        <v>1955</v>
      </c>
      <c r="P603" t="s">
        <v>1934</v>
      </c>
      <c r="Q603">
        <v>1</v>
      </c>
      <c r="S603" t="s">
        <v>2134</v>
      </c>
      <c r="T603" t="s">
        <v>2133</v>
      </c>
      <c r="U603" t="s">
        <v>1503</v>
      </c>
    </row>
    <row r="604" spans="1:31" hidden="1" x14ac:dyDescent="0.25">
      <c r="A604">
        <v>491</v>
      </c>
      <c r="C604" t="s">
        <v>1105</v>
      </c>
      <c r="D604" t="s">
        <v>19</v>
      </c>
      <c r="E604" t="s">
        <v>29</v>
      </c>
      <c r="F604">
        <v>545.84699999999998</v>
      </c>
      <c r="G604">
        <v>557.76099999999997</v>
      </c>
      <c r="H604" s="3" t="s">
        <v>1113</v>
      </c>
      <c r="I604" t="s">
        <v>1932</v>
      </c>
      <c r="J604" t="s">
        <v>2101</v>
      </c>
      <c r="U604" t="s">
        <v>1114</v>
      </c>
    </row>
    <row r="605" spans="1:31" hidden="1" x14ac:dyDescent="0.25">
      <c r="A605">
        <v>489</v>
      </c>
      <c r="C605" t="s">
        <v>1105</v>
      </c>
      <c r="D605" t="s">
        <v>19</v>
      </c>
      <c r="E605" t="s">
        <v>23</v>
      </c>
      <c r="F605">
        <v>406.16500000000002</v>
      </c>
      <c r="G605">
        <v>417.07</v>
      </c>
      <c r="H605" s="3" t="s">
        <v>1109</v>
      </c>
      <c r="I605" t="s">
        <v>1932</v>
      </c>
      <c r="J605" t="s">
        <v>1957</v>
      </c>
      <c r="U605" t="s">
        <v>1110</v>
      </c>
    </row>
    <row r="606" spans="1:31" hidden="1" x14ac:dyDescent="0.25">
      <c r="A606">
        <v>490</v>
      </c>
      <c r="C606" t="s">
        <v>1105</v>
      </c>
      <c r="D606" t="s">
        <v>19</v>
      </c>
      <c r="E606" t="s">
        <v>26</v>
      </c>
      <c r="F606">
        <v>410.56</v>
      </c>
      <c r="G606">
        <v>420.52300000000002</v>
      </c>
      <c r="H606" s="3" t="s">
        <v>1111</v>
      </c>
      <c r="I606" t="s">
        <v>1932</v>
      </c>
      <c r="J606" t="s">
        <v>1949</v>
      </c>
      <c r="U606" t="s">
        <v>1112</v>
      </c>
    </row>
    <row r="607" spans="1:31" hidden="1" x14ac:dyDescent="0.25">
      <c r="A607">
        <v>492</v>
      </c>
      <c r="C607" t="s">
        <v>1105</v>
      </c>
      <c r="D607" t="s">
        <v>19</v>
      </c>
      <c r="E607" t="s">
        <v>32</v>
      </c>
      <c r="F607">
        <v>1044.6690000000001</v>
      </c>
      <c r="G607">
        <v>1055.278</v>
      </c>
      <c r="H607" s="3" t="s">
        <v>1115</v>
      </c>
      <c r="I607" t="s">
        <v>1932</v>
      </c>
      <c r="J607" t="s">
        <v>1950</v>
      </c>
      <c r="K607">
        <v>493</v>
      </c>
      <c r="T607" t="s">
        <v>2120</v>
      </c>
      <c r="U607" t="s">
        <v>1116</v>
      </c>
    </row>
    <row r="608" spans="1:31" hidden="1" x14ac:dyDescent="0.25">
      <c r="A608">
        <v>493</v>
      </c>
      <c r="C608" t="s">
        <v>1105</v>
      </c>
      <c r="D608" t="s">
        <v>19</v>
      </c>
      <c r="E608" t="s">
        <v>35</v>
      </c>
      <c r="F608">
        <v>1047.4110000000001</v>
      </c>
      <c r="G608">
        <v>1057.961</v>
      </c>
      <c r="H608" s="3" t="s">
        <v>1117</v>
      </c>
      <c r="I608" t="s">
        <v>1932</v>
      </c>
      <c r="J608" t="s">
        <v>1950</v>
      </c>
      <c r="K608">
        <v>492</v>
      </c>
      <c r="T608" t="s">
        <v>2120</v>
      </c>
      <c r="U608" t="s">
        <v>1118</v>
      </c>
    </row>
    <row r="609" spans="1:31" hidden="1" x14ac:dyDescent="0.25">
      <c r="A609">
        <v>498</v>
      </c>
      <c r="C609" t="s">
        <v>1105</v>
      </c>
      <c r="D609" t="s">
        <v>47</v>
      </c>
      <c r="E609" t="s">
        <v>23</v>
      </c>
      <c r="F609">
        <v>1318.184</v>
      </c>
      <c r="G609">
        <v>1330.7829999999999</v>
      </c>
      <c r="H609" s="3" t="s">
        <v>1128</v>
      </c>
      <c r="I609" t="s">
        <v>1932</v>
      </c>
      <c r="J609" t="s">
        <v>1950</v>
      </c>
      <c r="U609" t="s">
        <v>1129</v>
      </c>
    </row>
    <row r="610" spans="1:31" hidden="1" x14ac:dyDescent="0.25">
      <c r="A610">
        <v>494</v>
      </c>
      <c r="C610" t="s">
        <v>1105</v>
      </c>
      <c r="D610" t="s">
        <v>19</v>
      </c>
      <c r="E610" t="s">
        <v>38</v>
      </c>
      <c r="F610">
        <v>1978.634</v>
      </c>
      <c r="G610">
        <v>1988.963</v>
      </c>
      <c r="H610" s="3" t="s">
        <v>1119</v>
      </c>
      <c r="I610" t="s">
        <v>1932</v>
      </c>
      <c r="J610" t="s">
        <v>2054</v>
      </c>
      <c r="U610" t="s">
        <v>1120</v>
      </c>
    </row>
    <row r="611" spans="1:31" hidden="1" x14ac:dyDescent="0.25">
      <c r="A611">
        <v>495</v>
      </c>
      <c r="C611" t="s">
        <v>1105</v>
      </c>
      <c r="D611" t="s">
        <v>19</v>
      </c>
      <c r="E611" t="s">
        <v>41</v>
      </c>
      <c r="F611">
        <v>2558.232</v>
      </c>
      <c r="G611">
        <v>2570.5050000000001</v>
      </c>
      <c r="H611" s="3" t="s">
        <v>1121</v>
      </c>
      <c r="I611" t="s">
        <v>1932</v>
      </c>
      <c r="J611" t="s">
        <v>1940</v>
      </c>
      <c r="U611" t="s">
        <v>1122</v>
      </c>
    </row>
    <row r="612" spans="1:31" hidden="1" x14ac:dyDescent="0.25">
      <c r="A612">
        <v>672</v>
      </c>
      <c r="C612" t="s">
        <v>1477</v>
      </c>
      <c r="D612" t="s">
        <v>47</v>
      </c>
      <c r="E612" t="s">
        <v>35</v>
      </c>
      <c r="F612">
        <v>3324.8890000000001</v>
      </c>
      <c r="G612">
        <v>3336.84</v>
      </c>
      <c r="H612" s="3" t="s">
        <v>1504</v>
      </c>
      <c r="I612" t="s">
        <v>1934</v>
      </c>
      <c r="L612" t="s">
        <v>1932</v>
      </c>
      <c r="M612" t="s">
        <v>1932</v>
      </c>
      <c r="N612" t="s">
        <v>1932</v>
      </c>
      <c r="O612" t="s">
        <v>1936</v>
      </c>
      <c r="P612" t="s">
        <v>1934</v>
      </c>
      <c r="Q612">
        <v>1</v>
      </c>
      <c r="T612" t="s">
        <v>2214</v>
      </c>
      <c r="U612" t="s">
        <v>1505</v>
      </c>
    </row>
    <row r="613" spans="1:31" hidden="1" x14ac:dyDescent="0.25">
      <c r="A613">
        <v>496</v>
      </c>
      <c r="C613" t="s">
        <v>1105</v>
      </c>
      <c r="D613" t="s">
        <v>19</v>
      </c>
      <c r="E613" t="s">
        <v>44</v>
      </c>
      <c r="F613">
        <v>2622.5160000000001</v>
      </c>
      <c r="G613">
        <v>2635.3890000000001</v>
      </c>
      <c r="H613" s="3" t="s">
        <v>1123</v>
      </c>
      <c r="I613" t="s">
        <v>1932</v>
      </c>
      <c r="J613" t="s">
        <v>2101</v>
      </c>
      <c r="U613" t="s">
        <v>1124</v>
      </c>
    </row>
    <row r="614" spans="1:31" hidden="1" x14ac:dyDescent="0.25">
      <c r="A614">
        <v>92</v>
      </c>
      <c r="C614" t="s">
        <v>215</v>
      </c>
      <c r="D614" t="s">
        <v>47</v>
      </c>
      <c r="E614" t="s">
        <v>20</v>
      </c>
      <c r="F614">
        <v>1125.5150000000001</v>
      </c>
      <c r="G614">
        <v>1134.672</v>
      </c>
      <c r="H614" s="3" t="s">
        <v>244</v>
      </c>
      <c r="I614" t="s">
        <v>1932</v>
      </c>
      <c r="J614" t="s">
        <v>1954</v>
      </c>
      <c r="U614" t="s">
        <v>245</v>
      </c>
    </row>
    <row r="615" spans="1:31" hidden="1" x14ac:dyDescent="0.25">
      <c r="A615">
        <v>84</v>
      </c>
      <c r="C615" t="s">
        <v>215</v>
      </c>
      <c r="D615" t="s">
        <v>19</v>
      </c>
      <c r="E615" t="s">
        <v>38</v>
      </c>
      <c r="F615">
        <v>1756.796</v>
      </c>
      <c r="G615">
        <v>1769.921</v>
      </c>
      <c r="H615" s="3" t="s">
        <v>228</v>
      </c>
      <c r="I615" t="s">
        <v>1932</v>
      </c>
      <c r="J615" t="s">
        <v>1940</v>
      </c>
      <c r="U615" t="s">
        <v>229</v>
      </c>
    </row>
    <row r="616" spans="1:31" hidden="1" x14ac:dyDescent="0.25">
      <c r="A616">
        <v>85</v>
      </c>
      <c r="C616" t="s">
        <v>215</v>
      </c>
      <c r="D616" t="s">
        <v>19</v>
      </c>
      <c r="E616" t="s">
        <v>41</v>
      </c>
      <c r="F616">
        <v>1780.0550000000001</v>
      </c>
      <c r="G616">
        <v>1791.7360000000001</v>
      </c>
      <c r="H616" s="3" t="s">
        <v>230</v>
      </c>
      <c r="I616" t="s">
        <v>1932</v>
      </c>
      <c r="J616" t="s">
        <v>1953</v>
      </c>
      <c r="U616" t="s">
        <v>231</v>
      </c>
    </row>
    <row r="617" spans="1:31" hidden="1" x14ac:dyDescent="0.25">
      <c r="A617">
        <v>690</v>
      </c>
      <c r="C617" t="s">
        <v>1544</v>
      </c>
      <c r="D617" t="s">
        <v>19</v>
      </c>
      <c r="E617" t="s">
        <v>20</v>
      </c>
      <c r="F617">
        <v>603.76900000000001</v>
      </c>
      <c r="G617">
        <v>614.89800000000002</v>
      </c>
      <c r="H617" s="3" t="s">
        <v>1545</v>
      </c>
      <c r="I617" t="s">
        <v>1934</v>
      </c>
      <c r="L617" t="s">
        <v>1935</v>
      </c>
      <c r="M617" t="s">
        <v>1932</v>
      </c>
      <c r="N617" t="s">
        <v>1932</v>
      </c>
      <c r="O617" t="s">
        <v>1955</v>
      </c>
      <c r="P617" t="s">
        <v>1932</v>
      </c>
      <c r="Q617">
        <v>3</v>
      </c>
      <c r="R617" t="s">
        <v>1970</v>
      </c>
      <c r="T617" t="s">
        <v>2071</v>
      </c>
      <c r="U617" t="s">
        <v>1546</v>
      </c>
    </row>
    <row r="618" spans="1:31" hidden="1" x14ac:dyDescent="0.25">
      <c r="A618">
        <v>594</v>
      </c>
      <c r="B618" t="s">
        <v>2291</v>
      </c>
      <c r="C618" t="s">
        <v>1327</v>
      </c>
      <c r="D618" t="s">
        <v>19</v>
      </c>
      <c r="E618" t="s">
        <v>29</v>
      </c>
      <c r="F618">
        <v>657.86699999999996</v>
      </c>
      <c r="G618">
        <v>670.17700000000002</v>
      </c>
      <c r="H618" s="3" t="s">
        <v>1335</v>
      </c>
      <c r="I618" t="s">
        <v>1934</v>
      </c>
      <c r="L618" t="s">
        <v>1932</v>
      </c>
      <c r="M618" t="s">
        <v>1932</v>
      </c>
      <c r="N618" t="s">
        <v>1932</v>
      </c>
      <c r="O618" t="s">
        <v>1936</v>
      </c>
      <c r="P618" t="s">
        <v>1934</v>
      </c>
      <c r="Q618">
        <v>4</v>
      </c>
      <c r="T618" t="s">
        <v>2076</v>
      </c>
      <c r="U618" t="s">
        <v>1336</v>
      </c>
      <c r="V618" t="s">
        <v>1330</v>
      </c>
      <c r="W618" t="s">
        <v>1934</v>
      </c>
      <c r="X618">
        <v>1</v>
      </c>
      <c r="Y618" s="5"/>
      <c r="AA618">
        <v>1</v>
      </c>
      <c r="AC618" s="5"/>
      <c r="AD618">
        <v>1</v>
      </c>
      <c r="AE618" t="s">
        <v>2309</v>
      </c>
    </row>
    <row r="619" spans="1:31" hidden="1" x14ac:dyDescent="0.25">
      <c r="A619">
        <v>87</v>
      </c>
      <c r="C619" t="s">
        <v>215</v>
      </c>
      <c r="D619" t="s">
        <v>19</v>
      </c>
      <c r="E619" t="s">
        <v>85</v>
      </c>
      <c r="F619">
        <v>1855.7370000000001</v>
      </c>
      <c r="G619">
        <v>1865.1569999999999</v>
      </c>
      <c r="H619" t="s">
        <v>234</v>
      </c>
      <c r="I619" t="s">
        <v>1932</v>
      </c>
      <c r="J619" t="s">
        <v>2101</v>
      </c>
      <c r="U619" t="s">
        <v>235</v>
      </c>
    </row>
    <row r="620" spans="1:31" hidden="1" x14ac:dyDescent="0.25">
      <c r="A620">
        <v>88</v>
      </c>
      <c r="C620" t="s">
        <v>215</v>
      </c>
      <c r="D620" t="s">
        <v>19</v>
      </c>
      <c r="E620" t="s">
        <v>88</v>
      </c>
      <c r="F620">
        <v>2666.663</v>
      </c>
      <c r="G620">
        <v>2675.4160000000002</v>
      </c>
      <c r="H620" s="3" t="s">
        <v>236</v>
      </c>
      <c r="I620" t="s">
        <v>1932</v>
      </c>
      <c r="J620" t="s">
        <v>1954</v>
      </c>
      <c r="U620" t="s">
        <v>237</v>
      </c>
    </row>
    <row r="621" spans="1:31" hidden="1" x14ac:dyDescent="0.25">
      <c r="A621">
        <v>90</v>
      </c>
      <c r="C621" t="s">
        <v>215</v>
      </c>
      <c r="D621" t="s">
        <v>118</v>
      </c>
      <c r="E621" t="s">
        <v>20</v>
      </c>
      <c r="F621">
        <v>1116.3109999999999</v>
      </c>
      <c r="G621">
        <v>1124.876</v>
      </c>
      <c r="H621" t="s">
        <v>240</v>
      </c>
      <c r="I621" t="s">
        <v>1932</v>
      </c>
      <c r="J621" t="s">
        <v>1948</v>
      </c>
      <c r="U621" t="s">
        <v>241</v>
      </c>
    </row>
    <row r="622" spans="1:31" hidden="1" x14ac:dyDescent="0.25">
      <c r="A622">
        <v>80</v>
      </c>
      <c r="C622" t="s">
        <v>215</v>
      </c>
      <c r="D622" t="s">
        <v>19</v>
      </c>
      <c r="E622" t="s">
        <v>26</v>
      </c>
      <c r="F622">
        <v>1538.1769999999999</v>
      </c>
      <c r="G622">
        <v>1549.4159999999999</v>
      </c>
      <c r="H622" t="s">
        <v>220</v>
      </c>
      <c r="I622" t="s">
        <v>1932</v>
      </c>
      <c r="J622" t="s">
        <v>1940</v>
      </c>
      <c r="U622" t="s">
        <v>221</v>
      </c>
    </row>
    <row r="623" spans="1:31" hidden="1" x14ac:dyDescent="0.25">
      <c r="A623">
        <v>81</v>
      </c>
      <c r="C623" t="s">
        <v>215</v>
      </c>
      <c r="D623" t="s">
        <v>19</v>
      </c>
      <c r="E623" t="s">
        <v>29</v>
      </c>
      <c r="F623">
        <v>1572.239</v>
      </c>
      <c r="G623">
        <v>1581.6869999999999</v>
      </c>
      <c r="H623" t="s">
        <v>222</v>
      </c>
      <c r="I623" t="s">
        <v>1932</v>
      </c>
      <c r="J623" t="s">
        <v>1940</v>
      </c>
      <c r="U623" t="s">
        <v>223</v>
      </c>
    </row>
    <row r="624" spans="1:31" hidden="1" x14ac:dyDescent="0.25">
      <c r="A624">
        <v>93</v>
      </c>
      <c r="C624" t="s">
        <v>215</v>
      </c>
      <c r="D624" t="s">
        <v>47</v>
      </c>
      <c r="E624" t="s">
        <v>23</v>
      </c>
      <c r="F624">
        <v>1576.662</v>
      </c>
      <c r="G624">
        <v>1586.402</v>
      </c>
      <c r="H624" s="3" t="s">
        <v>246</v>
      </c>
      <c r="I624" t="s">
        <v>1932</v>
      </c>
      <c r="J624" t="s">
        <v>2092</v>
      </c>
      <c r="L624" t="s">
        <v>1932</v>
      </c>
      <c r="M624" t="s">
        <v>1934</v>
      </c>
      <c r="N624" t="s">
        <v>1932</v>
      </c>
      <c r="O624" t="s">
        <v>1936</v>
      </c>
      <c r="P624" t="s">
        <v>1937</v>
      </c>
      <c r="T624" t="s">
        <v>2018</v>
      </c>
      <c r="U624" t="s">
        <v>247</v>
      </c>
    </row>
    <row r="625" spans="1:21" hidden="1" x14ac:dyDescent="0.25">
      <c r="A625">
        <v>91</v>
      </c>
      <c r="C625" t="s">
        <v>215</v>
      </c>
      <c r="D625" t="s">
        <v>118</v>
      </c>
      <c r="E625" t="s">
        <v>23</v>
      </c>
      <c r="F625">
        <v>1611.0740000000001</v>
      </c>
      <c r="G625">
        <v>1620.55</v>
      </c>
      <c r="H625" s="3" t="s">
        <v>242</v>
      </c>
      <c r="I625" t="s">
        <v>1932</v>
      </c>
      <c r="L625" t="s">
        <v>1932</v>
      </c>
      <c r="M625" t="s">
        <v>1932</v>
      </c>
      <c r="N625" t="s">
        <v>1932</v>
      </c>
      <c r="O625" t="s">
        <v>2023</v>
      </c>
      <c r="P625" t="s">
        <v>1934</v>
      </c>
      <c r="Q625">
        <v>1</v>
      </c>
      <c r="T625" t="s">
        <v>2022</v>
      </c>
      <c r="U625" t="s">
        <v>243</v>
      </c>
    </row>
    <row r="626" spans="1:21" hidden="1" x14ac:dyDescent="0.25">
      <c r="A626">
        <v>86</v>
      </c>
      <c r="C626" t="s">
        <v>215</v>
      </c>
      <c r="D626" t="s">
        <v>19</v>
      </c>
      <c r="E626" t="s">
        <v>44</v>
      </c>
      <c r="F626">
        <v>1793.2059999999999</v>
      </c>
      <c r="G626">
        <v>1806.7239999999999</v>
      </c>
      <c r="H626" s="3" t="s">
        <v>232</v>
      </c>
      <c r="I626" t="s">
        <v>1932</v>
      </c>
      <c r="L626" t="s">
        <v>1932</v>
      </c>
      <c r="M626" t="s">
        <v>1932</v>
      </c>
      <c r="N626" t="s">
        <v>1932</v>
      </c>
      <c r="O626" t="s">
        <v>2023</v>
      </c>
      <c r="P626" t="s">
        <v>1937</v>
      </c>
      <c r="T626" t="s">
        <v>2031</v>
      </c>
      <c r="U626" t="s">
        <v>233</v>
      </c>
    </row>
    <row r="627" spans="1:21" hidden="1" x14ac:dyDescent="0.25">
      <c r="A627">
        <v>89</v>
      </c>
      <c r="C627" t="s">
        <v>215</v>
      </c>
      <c r="D627" t="s">
        <v>19</v>
      </c>
      <c r="E627" t="s">
        <v>91</v>
      </c>
      <c r="F627">
        <v>2957.4769999999999</v>
      </c>
      <c r="G627">
        <v>2968.9180000000001</v>
      </c>
      <c r="H627" t="s">
        <v>238</v>
      </c>
      <c r="I627" t="s">
        <v>1932</v>
      </c>
      <c r="J627" t="s">
        <v>1940</v>
      </c>
      <c r="U627" t="s">
        <v>239</v>
      </c>
    </row>
    <row r="628" spans="1:21" hidden="1" x14ac:dyDescent="0.25">
      <c r="A628">
        <v>94</v>
      </c>
      <c r="C628" t="s">
        <v>215</v>
      </c>
      <c r="D628" t="s">
        <v>47</v>
      </c>
      <c r="E628" t="s">
        <v>26</v>
      </c>
      <c r="F628">
        <v>3256.8159999999998</v>
      </c>
      <c r="G628">
        <v>3268.1750000000002</v>
      </c>
      <c r="H628" t="s">
        <v>248</v>
      </c>
      <c r="I628" t="s">
        <v>1932</v>
      </c>
      <c r="J628" t="s">
        <v>1948</v>
      </c>
      <c r="U628" t="s">
        <v>249</v>
      </c>
    </row>
    <row r="629" spans="1:21" hidden="1" x14ac:dyDescent="0.25">
      <c r="A629">
        <v>115</v>
      </c>
      <c r="C629" t="s">
        <v>281</v>
      </c>
      <c r="D629" t="s">
        <v>118</v>
      </c>
      <c r="E629" t="s">
        <v>26</v>
      </c>
      <c r="F629">
        <v>71.180999999999997</v>
      </c>
      <c r="G629">
        <v>80.218000000000004</v>
      </c>
      <c r="H629" s="3" t="s">
        <v>292</v>
      </c>
      <c r="I629" t="s">
        <v>1932</v>
      </c>
      <c r="J629" t="s">
        <v>2106</v>
      </c>
      <c r="U629" t="s">
        <v>293</v>
      </c>
    </row>
    <row r="630" spans="1:21" hidden="1" x14ac:dyDescent="0.25">
      <c r="A630">
        <v>121</v>
      </c>
      <c r="C630" t="s">
        <v>281</v>
      </c>
      <c r="D630" t="s">
        <v>118</v>
      </c>
      <c r="E630" t="s">
        <v>44</v>
      </c>
      <c r="F630">
        <v>2638.1080000000002</v>
      </c>
      <c r="G630">
        <v>2647.2759999999998</v>
      </c>
      <c r="H630" s="3" t="s">
        <v>304</v>
      </c>
      <c r="I630" t="s">
        <v>1932</v>
      </c>
      <c r="J630" t="s">
        <v>1956</v>
      </c>
      <c r="U630" t="s">
        <v>305</v>
      </c>
    </row>
    <row r="631" spans="1:21" hidden="1" x14ac:dyDescent="0.25">
      <c r="A631">
        <v>139</v>
      </c>
      <c r="C631" t="s">
        <v>281</v>
      </c>
      <c r="D631" t="s">
        <v>47</v>
      </c>
      <c r="E631" t="s">
        <v>85</v>
      </c>
      <c r="F631">
        <v>3002.6660000000002</v>
      </c>
      <c r="G631">
        <v>3011.154</v>
      </c>
      <c r="H631" s="3" t="s">
        <v>340</v>
      </c>
      <c r="I631" t="s">
        <v>1932</v>
      </c>
      <c r="J631" t="s">
        <v>1952</v>
      </c>
      <c r="S631" t="s">
        <v>2233</v>
      </c>
      <c r="T631" t="s">
        <v>2100</v>
      </c>
      <c r="U631" t="s">
        <v>341</v>
      </c>
    </row>
    <row r="632" spans="1:21" hidden="1" x14ac:dyDescent="0.25">
      <c r="A632">
        <v>751</v>
      </c>
      <c r="C632" t="s">
        <v>1665</v>
      </c>
      <c r="D632" t="s">
        <v>19</v>
      </c>
      <c r="E632" t="s">
        <v>35</v>
      </c>
      <c r="F632">
        <v>2825.9059999999999</v>
      </c>
      <c r="G632">
        <v>2834.86</v>
      </c>
      <c r="H632" s="3" t="s">
        <v>1676</v>
      </c>
      <c r="I632" t="s">
        <v>1934</v>
      </c>
      <c r="L632" t="s">
        <v>1932</v>
      </c>
      <c r="M632" t="s">
        <v>1932</v>
      </c>
      <c r="N632" t="s">
        <v>1932</v>
      </c>
      <c r="O632" t="s">
        <v>1936</v>
      </c>
      <c r="P632" t="s">
        <v>1932</v>
      </c>
      <c r="Q632">
        <v>2</v>
      </c>
      <c r="T632" t="s">
        <v>2194</v>
      </c>
      <c r="U632" t="s">
        <v>1677</v>
      </c>
    </row>
    <row r="633" spans="1:21" hidden="1" x14ac:dyDescent="0.25">
      <c r="A633">
        <v>130</v>
      </c>
      <c r="C633" t="s">
        <v>281</v>
      </c>
      <c r="D633" t="s">
        <v>47</v>
      </c>
      <c r="E633" t="s">
        <v>20</v>
      </c>
      <c r="F633">
        <v>94.066000000000003</v>
      </c>
      <c r="G633">
        <v>102.733</v>
      </c>
      <c r="H633" s="3" t="s">
        <v>322</v>
      </c>
      <c r="I633" t="s">
        <v>1932</v>
      </c>
      <c r="J633" t="s">
        <v>1952</v>
      </c>
      <c r="U633" t="s">
        <v>323</v>
      </c>
    </row>
    <row r="634" spans="1:21" x14ac:dyDescent="0.25">
      <c r="A634">
        <v>756</v>
      </c>
      <c r="C634" t="s">
        <v>1665</v>
      </c>
      <c r="D634" t="s">
        <v>47</v>
      </c>
      <c r="E634" t="s">
        <v>20</v>
      </c>
      <c r="F634">
        <v>1403.943</v>
      </c>
      <c r="G634">
        <v>1414.884</v>
      </c>
      <c r="H634" s="3" t="s">
        <v>1686</v>
      </c>
      <c r="I634" t="s">
        <v>1934</v>
      </c>
      <c r="J634" t="s">
        <v>1954</v>
      </c>
      <c r="L634" t="s">
        <v>1932</v>
      </c>
      <c r="M634" t="s">
        <v>1932</v>
      </c>
      <c r="N634" t="s">
        <v>1932</v>
      </c>
      <c r="O634" t="s">
        <v>1936</v>
      </c>
      <c r="P634" t="s">
        <v>2095</v>
      </c>
      <c r="Q634">
        <v>4</v>
      </c>
      <c r="T634" t="s">
        <v>2129</v>
      </c>
      <c r="U634" t="s">
        <v>1687</v>
      </c>
    </row>
    <row r="635" spans="1:21" hidden="1" x14ac:dyDescent="0.25">
      <c r="A635">
        <v>116</v>
      </c>
      <c r="C635" t="s">
        <v>281</v>
      </c>
      <c r="D635" t="s">
        <v>118</v>
      </c>
      <c r="E635" t="s">
        <v>29</v>
      </c>
      <c r="F635">
        <v>108.91500000000001</v>
      </c>
      <c r="G635">
        <v>117.42400000000001</v>
      </c>
      <c r="H635" s="3" t="s">
        <v>294</v>
      </c>
      <c r="I635" t="s">
        <v>1932</v>
      </c>
      <c r="J635" t="s">
        <v>2091</v>
      </c>
      <c r="L635" t="s">
        <v>1932</v>
      </c>
      <c r="M635" t="s">
        <v>1932</v>
      </c>
      <c r="N635" t="s">
        <v>1932</v>
      </c>
      <c r="O635" t="s">
        <v>1942</v>
      </c>
      <c r="P635" t="s">
        <v>1937</v>
      </c>
      <c r="T635" t="s">
        <v>1981</v>
      </c>
      <c r="U635" t="s">
        <v>295</v>
      </c>
    </row>
    <row r="636" spans="1:21" hidden="1" x14ac:dyDescent="0.25">
      <c r="A636">
        <v>131</v>
      </c>
      <c r="C636" t="s">
        <v>281</v>
      </c>
      <c r="D636" t="s">
        <v>47</v>
      </c>
      <c r="E636" t="s">
        <v>23</v>
      </c>
      <c r="F636">
        <v>635.37800000000004</v>
      </c>
      <c r="G636">
        <v>643.94899999999996</v>
      </c>
      <c r="H636" s="3" t="s">
        <v>324</v>
      </c>
      <c r="I636" t="s">
        <v>1932</v>
      </c>
      <c r="J636" t="s">
        <v>1948</v>
      </c>
      <c r="U636" t="s">
        <v>325</v>
      </c>
    </row>
    <row r="637" spans="1:21" hidden="1" x14ac:dyDescent="0.25">
      <c r="A637">
        <v>132</v>
      </c>
      <c r="C637" t="s">
        <v>281</v>
      </c>
      <c r="D637" t="s">
        <v>47</v>
      </c>
      <c r="E637" t="s">
        <v>26</v>
      </c>
      <c r="F637">
        <v>696.47699999999998</v>
      </c>
      <c r="G637">
        <v>705.14099999999996</v>
      </c>
      <c r="H637" s="3" t="s">
        <v>326</v>
      </c>
      <c r="I637" t="s">
        <v>1932</v>
      </c>
      <c r="J637" t="s">
        <v>2053</v>
      </c>
      <c r="U637" t="s">
        <v>327</v>
      </c>
    </row>
    <row r="638" spans="1:21" hidden="1" x14ac:dyDescent="0.25">
      <c r="A638">
        <v>118</v>
      </c>
      <c r="C638" t="s">
        <v>281</v>
      </c>
      <c r="D638" t="s">
        <v>118</v>
      </c>
      <c r="E638" t="s">
        <v>35</v>
      </c>
      <c r="F638">
        <v>2032.4359999999999</v>
      </c>
      <c r="G638">
        <v>2041.4960000000001</v>
      </c>
      <c r="H638" t="s">
        <v>298</v>
      </c>
      <c r="I638" t="s">
        <v>1932</v>
      </c>
      <c r="J638" t="s">
        <v>1956</v>
      </c>
      <c r="U638" t="s">
        <v>299</v>
      </c>
    </row>
    <row r="639" spans="1:21" hidden="1" x14ac:dyDescent="0.25">
      <c r="A639">
        <v>133</v>
      </c>
      <c r="C639" t="s">
        <v>281</v>
      </c>
      <c r="D639" t="s">
        <v>47</v>
      </c>
      <c r="E639" t="s">
        <v>29</v>
      </c>
      <c r="F639">
        <v>2047.7349999999999</v>
      </c>
      <c r="G639">
        <v>2056.2260000000001</v>
      </c>
      <c r="H639" s="3" t="s">
        <v>328</v>
      </c>
      <c r="I639" t="s">
        <v>1932</v>
      </c>
      <c r="J639" t="s">
        <v>1948</v>
      </c>
      <c r="U639" t="s">
        <v>329</v>
      </c>
    </row>
    <row r="640" spans="1:21" hidden="1" x14ac:dyDescent="0.25">
      <c r="A640">
        <v>111</v>
      </c>
      <c r="C640" t="s">
        <v>281</v>
      </c>
      <c r="D640" t="s">
        <v>19</v>
      </c>
      <c r="E640" t="s">
        <v>23</v>
      </c>
      <c r="F640">
        <v>2476.8919999999998</v>
      </c>
      <c r="G640">
        <v>2486.84</v>
      </c>
      <c r="H640" s="3" t="s">
        <v>284</v>
      </c>
      <c r="I640" t="s">
        <v>1932</v>
      </c>
      <c r="J640" t="s">
        <v>1957</v>
      </c>
      <c r="U640" t="s">
        <v>285</v>
      </c>
    </row>
    <row r="641" spans="1:21" hidden="1" x14ac:dyDescent="0.25">
      <c r="A641">
        <v>112</v>
      </c>
      <c r="C641" t="s">
        <v>281</v>
      </c>
      <c r="D641" t="s">
        <v>19</v>
      </c>
      <c r="E641" t="s">
        <v>26</v>
      </c>
      <c r="F641">
        <v>2554.7930000000001</v>
      </c>
      <c r="G641">
        <v>2562.873</v>
      </c>
      <c r="H641" s="3" t="s">
        <v>286</v>
      </c>
      <c r="I641" t="s">
        <v>1932</v>
      </c>
      <c r="J641" t="s">
        <v>1957</v>
      </c>
      <c r="U641" t="s">
        <v>287</v>
      </c>
    </row>
    <row r="642" spans="1:21" hidden="1" x14ac:dyDescent="0.25">
      <c r="A642">
        <v>120</v>
      </c>
      <c r="C642" t="s">
        <v>281</v>
      </c>
      <c r="D642" t="s">
        <v>118</v>
      </c>
      <c r="E642" t="s">
        <v>41</v>
      </c>
      <c r="F642">
        <v>2565.48</v>
      </c>
      <c r="G642">
        <v>2574.047</v>
      </c>
      <c r="H642" t="s">
        <v>302</v>
      </c>
      <c r="I642" t="s">
        <v>1932</v>
      </c>
      <c r="J642" t="s">
        <v>1948</v>
      </c>
      <c r="U642" t="s">
        <v>303</v>
      </c>
    </row>
    <row r="643" spans="1:21" hidden="1" x14ac:dyDescent="0.25">
      <c r="A643">
        <v>135</v>
      </c>
      <c r="C643" t="s">
        <v>281</v>
      </c>
      <c r="D643" t="s">
        <v>47</v>
      </c>
      <c r="E643" t="s">
        <v>35</v>
      </c>
      <c r="F643">
        <v>2577.259</v>
      </c>
      <c r="G643">
        <v>2585.67</v>
      </c>
      <c r="H643" s="3" t="s">
        <v>332</v>
      </c>
      <c r="I643" t="s">
        <v>1932</v>
      </c>
      <c r="J643" t="s">
        <v>1933</v>
      </c>
      <c r="U643" t="s">
        <v>333</v>
      </c>
    </row>
    <row r="644" spans="1:21" hidden="1" x14ac:dyDescent="0.25">
      <c r="A644">
        <v>122</v>
      </c>
      <c r="C644" t="s">
        <v>281</v>
      </c>
      <c r="D644" t="s">
        <v>118</v>
      </c>
      <c r="E644" t="s">
        <v>85</v>
      </c>
      <c r="F644">
        <v>2745.2829999999999</v>
      </c>
      <c r="G644">
        <v>2753.855</v>
      </c>
      <c r="H644" t="s">
        <v>306</v>
      </c>
      <c r="I644" t="s">
        <v>1932</v>
      </c>
      <c r="J644" t="s">
        <v>1956</v>
      </c>
      <c r="U644" t="s">
        <v>307</v>
      </c>
    </row>
    <row r="645" spans="1:21" hidden="1" x14ac:dyDescent="0.25">
      <c r="A645">
        <v>136</v>
      </c>
      <c r="C645" t="s">
        <v>281</v>
      </c>
      <c r="D645" t="s">
        <v>47</v>
      </c>
      <c r="E645" t="s">
        <v>38</v>
      </c>
      <c r="F645">
        <v>2778.8180000000002</v>
      </c>
      <c r="G645">
        <v>2787.277</v>
      </c>
      <c r="H645" s="3" t="s">
        <v>334</v>
      </c>
      <c r="I645" t="s">
        <v>1932</v>
      </c>
      <c r="J645" t="s">
        <v>1933</v>
      </c>
      <c r="U645" t="s">
        <v>335</v>
      </c>
    </row>
    <row r="646" spans="1:21" hidden="1" x14ac:dyDescent="0.25">
      <c r="A646">
        <v>137</v>
      </c>
      <c r="C646" t="s">
        <v>281</v>
      </c>
      <c r="D646" t="s">
        <v>47</v>
      </c>
      <c r="E646" t="s">
        <v>41</v>
      </c>
      <c r="F646">
        <v>2812.4760000000001</v>
      </c>
      <c r="G646">
        <v>2820.9940000000001</v>
      </c>
      <c r="H646" s="3" t="s">
        <v>336</v>
      </c>
      <c r="I646" t="s">
        <v>1932</v>
      </c>
      <c r="J646" t="s">
        <v>1952</v>
      </c>
      <c r="U646" t="s">
        <v>337</v>
      </c>
    </row>
    <row r="647" spans="1:21" hidden="1" x14ac:dyDescent="0.25">
      <c r="A647">
        <v>123</v>
      </c>
      <c r="C647" t="s">
        <v>281</v>
      </c>
      <c r="D647" t="s">
        <v>118</v>
      </c>
      <c r="E647" t="s">
        <v>88</v>
      </c>
      <c r="F647">
        <v>2838.4659999999999</v>
      </c>
      <c r="G647">
        <v>2848.2150000000001</v>
      </c>
      <c r="H647" t="s">
        <v>308</v>
      </c>
      <c r="I647" t="s">
        <v>1932</v>
      </c>
      <c r="J647" t="s">
        <v>1948</v>
      </c>
      <c r="U647" t="s">
        <v>309</v>
      </c>
    </row>
    <row r="648" spans="1:21" hidden="1" x14ac:dyDescent="0.25">
      <c r="A648">
        <v>138</v>
      </c>
      <c r="C648" t="s">
        <v>281</v>
      </c>
      <c r="D648" t="s">
        <v>47</v>
      </c>
      <c r="E648" t="s">
        <v>44</v>
      </c>
      <c r="F648">
        <v>2889.6170000000002</v>
      </c>
      <c r="G648">
        <v>2898.0929999999998</v>
      </c>
      <c r="H648" s="3" t="s">
        <v>338</v>
      </c>
      <c r="I648" t="s">
        <v>1932</v>
      </c>
      <c r="J648" t="s">
        <v>1957</v>
      </c>
      <c r="U648" t="s">
        <v>339</v>
      </c>
    </row>
    <row r="649" spans="1:21" hidden="1" x14ac:dyDescent="0.25">
      <c r="A649">
        <v>125</v>
      </c>
      <c r="C649" t="s">
        <v>281</v>
      </c>
      <c r="D649" t="s">
        <v>118</v>
      </c>
      <c r="E649" t="s">
        <v>94</v>
      </c>
      <c r="F649">
        <v>2941.0230000000001</v>
      </c>
      <c r="G649">
        <v>2949.6669999999999</v>
      </c>
      <c r="H649" s="3" t="s">
        <v>312</v>
      </c>
      <c r="I649" t="s">
        <v>1932</v>
      </c>
      <c r="J649" t="s">
        <v>2096</v>
      </c>
      <c r="U649" t="s">
        <v>313</v>
      </c>
    </row>
    <row r="650" spans="1:21" hidden="1" x14ac:dyDescent="0.25">
      <c r="A650">
        <v>129</v>
      </c>
      <c r="C650" t="s">
        <v>281</v>
      </c>
      <c r="D650" t="s">
        <v>118</v>
      </c>
      <c r="E650" t="s">
        <v>106</v>
      </c>
      <c r="F650">
        <v>3012.7959999999998</v>
      </c>
      <c r="G650">
        <v>3022.3679999999999</v>
      </c>
      <c r="H650" s="3" t="s">
        <v>320</v>
      </c>
      <c r="I650" t="s">
        <v>1932</v>
      </c>
      <c r="J650" t="s">
        <v>1957</v>
      </c>
      <c r="U650" t="s">
        <v>321</v>
      </c>
    </row>
    <row r="651" spans="1:21" hidden="1" x14ac:dyDescent="0.25">
      <c r="A651">
        <v>140</v>
      </c>
      <c r="C651" t="s">
        <v>281</v>
      </c>
      <c r="D651" t="s">
        <v>47</v>
      </c>
      <c r="E651" t="s">
        <v>88</v>
      </c>
      <c r="F651">
        <v>3020.125</v>
      </c>
      <c r="G651">
        <v>3029.299</v>
      </c>
      <c r="H651" s="3" t="s">
        <v>342</v>
      </c>
      <c r="I651" t="s">
        <v>1932</v>
      </c>
      <c r="J651" t="s">
        <v>1961</v>
      </c>
      <c r="U651" t="s">
        <v>343</v>
      </c>
    </row>
    <row r="652" spans="1:21" hidden="1" x14ac:dyDescent="0.25">
      <c r="A652">
        <v>141</v>
      </c>
      <c r="C652" t="s">
        <v>281</v>
      </c>
      <c r="D652" t="s">
        <v>47</v>
      </c>
      <c r="E652" t="s">
        <v>91</v>
      </c>
      <c r="F652">
        <v>3197.2550000000001</v>
      </c>
      <c r="G652">
        <v>3205.6950000000002</v>
      </c>
      <c r="H652" s="3" t="s">
        <v>344</v>
      </c>
      <c r="I652" t="s">
        <v>1932</v>
      </c>
      <c r="J652" t="s">
        <v>2101</v>
      </c>
      <c r="U652" t="s">
        <v>345</v>
      </c>
    </row>
    <row r="653" spans="1:21" hidden="1" x14ac:dyDescent="0.25">
      <c r="A653">
        <v>142</v>
      </c>
      <c r="C653" t="s">
        <v>281</v>
      </c>
      <c r="D653" t="s">
        <v>47</v>
      </c>
      <c r="E653" t="s">
        <v>94</v>
      </c>
      <c r="F653">
        <v>3250.864</v>
      </c>
      <c r="G653">
        <v>3259.4479999999999</v>
      </c>
      <c r="H653" s="3" t="s">
        <v>346</v>
      </c>
      <c r="I653" t="s">
        <v>1932</v>
      </c>
      <c r="J653" t="s">
        <v>2101</v>
      </c>
      <c r="U653" t="s">
        <v>347</v>
      </c>
    </row>
    <row r="654" spans="1:21" hidden="1" x14ac:dyDescent="0.25">
      <c r="A654">
        <v>758</v>
      </c>
      <c r="C654" t="s">
        <v>1688</v>
      </c>
      <c r="D654" t="s">
        <v>19</v>
      </c>
      <c r="E654" t="s">
        <v>23</v>
      </c>
      <c r="F654">
        <v>38.79</v>
      </c>
      <c r="G654">
        <v>48.987000000000002</v>
      </c>
      <c r="H654" s="3" t="s">
        <v>1691</v>
      </c>
      <c r="I654" t="s">
        <v>1934</v>
      </c>
      <c r="J654" t="s">
        <v>1957</v>
      </c>
      <c r="L654" t="s">
        <v>1935</v>
      </c>
      <c r="M654" t="s">
        <v>1932</v>
      </c>
      <c r="N654" t="s">
        <v>1932</v>
      </c>
      <c r="O654" t="s">
        <v>1936</v>
      </c>
      <c r="P654" t="s">
        <v>1934</v>
      </c>
      <c r="Q654">
        <v>1</v>
      </c>
      <c r="T654" t="s">
        <v>1968</v>
      </c>
      <c r="U654" t="s">
        <v>1692</v>
      </c>
    </row>
    <row r="655" spans="1:21" hidden="1" x14ac:dyDescent="0.25">
      <c r="A655">
        <v>143</v>
      </c>
      <c r="C655" t="s">
        <v>281</v>
      </c>
      <c r="D655" t="s">
        <v>47</v>
      </c>
      <c r="E655" t="s">
        <v>97</v>
      </c>
      <c r="F655">
        <v>3273.8890000000001</v>
      </c>
      <c r="G655">
        <v>3282.424</v>
      </c>
      <c r="H655" s="3" t="s">
        <v>348</v>
      </c>
      <c r="I655" t="s">
        <v>1932</v>
      </c>
      <c r="J655" t="s">
        <v>2101</v>
      </c>
      <c r="U655" t="s">
        <v>349</v>
      </c>
    </row>
    <row r="656" spans="1:21" hidden="1" x14ac:dyDescent="0.25">
      <c r="A656">
        <v>144</v>
      </c>
      <c r="C656" t="s">
        <v>281</v>
      </c>
      <c r="D656" t="s">
        <v>47</v>
      </c>
      <c r="E656" t="s">
        <v>100</v>
      </c>
      <c r="F656">
        <v>3282.4589999999998</v>
      </c>
      <c r="G656">
        <v>3290.8739999999998</v>
      </c>
      <c r="H656" s="3" t="s">
        <v>350</v>
      </c>
      <c r="I656" t="s">
        <v>1932</v>
      </c>
      <c r="J656" t="s">
        <v>1933</v>
      </c>
      <c r="U656" t="s">
        <v>351</v>
      </c>
    </row>
    <row r="657" spans="1:22" hidden="1" x14ac:dyDescent="0.25">
      <c r="A657">
        <v>500</v>
      </c>
      <c r="C657" t="s">
        <v>1132</v>
      </c>
      <c r="D657" t="s">
        <v>19</v>
      </c>
      <c r="E657" t="s">
        <v>20</v>
      </c>
      <c r="F657">
        <v>207.25299999999999</v>
      </c>
      <c r="G657">
        <v>216.10400000000001</v>
      </c>
      <c r="H657" t="s">
        <v>1133</v>
      </c>
      <c r="I657" t="s">
        <v>1932</v>
      </c>
      <c r="J657" t="s">
        <v>1948</v>
      </c>
      <c r="U657" t="s">
        <v>1134</v>
      </c>
      <c r="V657" t="s">
        <v>1135</v>
      </c>
    </row>
    <row r="658" spans="1:22" hidden="1" x14ac:dyDescent="0.25">
      <c r="A658">
        <v>501</v>
      </c>
      <c r="C658" t="s">
        <v>1132</v>
      </c>
      <c r="D658" t="s">
        <v>19</v>
      </c>
      <c r="E658" t="s">
        <v>23</v>
      </c>
      <c r="F658">
        <v>1208.606</v>
      </c>
      <c r="G658">
        <v>1217.3440000000001</v>
      </c>
      <c r="H658" s="3" t="s">
        <v>1136</v>
      </c>
      <c r="I658" t="s">
        <v>1932</v>
      </c>
      <c r="J658" t="s">
        <v>1940</v>
      </c>
      <c r="U658" t="s">
        <v>1137</v>
      </c>
    </row>
    <row r="659" spans="1:22" hidden="1" x14ac:dyDescent="0.25">
      <c r="A659">
        <v>502</v>
      </c>
      <c r="C659" t="s">
        <v>1132</v>
      </c>
      <c r="D659" t="s">
        <v>19</v>
      </c>
      <c r="E659" t="s">
        <v>26</v>
      </c>
      <c r="F659">
        <v>1324.3810000000001</v>
      </c>
      <c r="G659">
        <v>1332.973</v>
      </c>
      <c r="H659" s="3" t="s">
        <v>1138</v>
      </c>
      <c r="I659" t="s">
        <v>1932</v>
      </c>
      <c r="J659" t="s">
        <v>2106</v>
      </c>
      <c r="U659" t="s">
        <v>1139</v>
      </c>
    </row>
    <row r="660" spans="1:22" hidden="1" x14ac:dyDescent="0.25">
      <c r="A660">
        <v>503</v>
      </c>
      <c r="C660" t="s">
        <v>1132</v>
      </c>
      <c r="D660" t="s">
        <v>19</v>
      </c>
      <c r="E660" t="s">
        <v>29</v>
      </c>
      <c r="F660">
        <v>1617.8789999999999</v>
      </c>
      <c r="G660">
        <v>1627.8140000000001</v>
      </c>
      <c r="H660" s="3" t="s">
        <v>1140</v>
      </c>
      <c r="I660" t="s">
        <v>1932</v>
      </c>
      <c r="J660" t="s">
        <v>1948</v>
      </c>
      <c r="U660" t="s">
        <v>1141</v>
      </c>
    </row>
    <row r="661" spans="1:22" hidden="1" x14ac:dyDescent="0.25">
      <c r="A661">
        <v>510</v>
      </c>
      <c r="C661" t="s">
        <v>1132</v>
      </c>
      <c r="D661" t="s">
        <v>47</v>
      </c>
      <c r="E661" t="s">
        <v>20</v>
      </c>
      <c r="F661">
        <v>2364.3119999999999</v>
      </c>
      <c r="G661">
        <v>2372.884</v>
      </c>
      <c r="H661" s="3" t="s">
        <v>1155</v>
      </c>
      <c r="I661" t="s">
        <v>1932</v>
      </c>
      <c r="J661" t="s">
        <v>1948</v>
      </c>
      <c r="U661" t="s">
        <v>1156</v>
      </c>
    </row>
    <row r="662" spans="1:22" hidden="1" x14ac:dyDescent="0.25">
      <c r="A662">
        <v>504</v>
      </c>
      <c r="C662" t="s">
        <v>1132</v>
      </c>
      <c r="D662" t="s">
        <v>19</v>
      </c>
      <c r="E662" t="s">
        <v>32</v>
      </c>
      <c r="F662">
        <v>2470.2860000000001</v>
      </c>
      <c r="G662">
        <v>2480.3980000000001</v>
      </c>
      <c r="H662" s="3" t="s">
        <v>1142</v>
      </c>
      <c r="I662" t="s">
        <v>1932</v>
      </c>
      <c r="J662" t="s">
        <v>1961</v>
      </c>
      <c r="U662" t="s">
        <v>1143</v>
      </c>
    </row>
    <row r="663" spans="1:22" hidden="1" x14ac:dyDescent="0.25">
      <c r="A663">
        <v>505</v>
      </c>
      <c r="C663" t="s">
        <v>1132</v>
      </c>
      <c r="D663" t="s">
        <v>19</v>
      </c>
      <c r="E663" t="s">
        <v>35</v>
      </c>
      <c r="F663">
        <v>2865.6860000000001</v>
      </c>
      <c r="G663">
        <v>2875.7829999999999</v>
      </c>
      <c r="H663" s="3" t="s">
        <v>1144</v>
      </c>
      <c r="I663" t="s">
        <v>1932</v>
      </c>
      <c r="J663" t="s">
        <v>1954</v>
      </c>
      <c r="U663" t="s">
        <v>1145</v>
      </c>
    </row>
    <row r="664" spans="1:22" hidden="1" x14ac:dyDescent="0.25">
      <c r="A664">
        <v>506</v>
      </c>
      <c r="C664" t="s">
        <v>1132</v>
      </c>
      <c r="D664" t="s">
        <v>19</v>
      </c>
      <c r="E664" t="s">
        <v>38</v>
      </c>
      <c r="F664">
        <v>3818.89</v>
      </c>
      <c r="G664">
        <v>3829.3150000000001</v>
      </c>
      <c r="H664" s="3" t="s">
        <v>1146</v>
      </c>
      <c r="I664" t="s">
        <v>1932</v>
      </c>
      <c r="J664" t="s">
        <v>1948</v>
      </c>
      <c r="U664" t="s">
        <v>1147</v>
      </c>
    </row>
    <row r="665" spans="1:22" hidden="1" x14ac:dyDescent="0.25">
      <c r="A665">
        <v>507</v>
      </c>
      <c r="C665" t="s">
        <v>1132</v>
      </c>
      <c r="D665" t="s">
        <v>19</v>
      </c>
      <c r="E665" t="s">
        <v>41</v>
      </c>
      <c r="F665">
        <v>3907.7950000000001</v>
      </c>
      <c r="G665">
        <v>3918.5569999999998</v>
      </c>
      <c r="H665" s="3" t="s">
        <v>1148</v>
      </c>
      <c r="I665" t="s">
        <v>1932</v>
      </c>
      <c r="J665" t="s">
        <v>1961</v>
      </c>
      <c r="U665" t="s">
        <v>1149</v>
      </c>
    </row>
    <row r="666" spans="1:22" hidden="1" x14ac:dyDescent="0.25">
      <c r="A666">
        <v>560</v>
      </c>
      <c r="C666" t="s">
        <v>1238</v>
      </c>
      <c r="D666" t="s">
        <v>118</v>
      </c>
      <c r="E666" t="s">
        <v>20</v>
      </c>
      <c r="F666">
        <v>69.347999999999999</v>
      </c>
      <c r="G666">
        <v>77.73</v>
      </c>
      <c r="H666" s="3" t="s">
        <v>1262</v>
      </c>
      <c r="I666" t="s">
        <v>1932</v>
      </c>
      <c r="J666" t="s">
        <v>1952</v>
      </c>
      <c r="U666" t="s">
        <v>1263</v>
      </c>
      <c r="V666" t="s">
        <v>1241</v>
      </c>
    </row>
    <row r="667" spans="1:22" hidden="1" x14ac:dyDescent="0.25">
      <c r="A667">
        <v>561</v>
      </c>
      <c r="C667" t="s">
        <v>1238</v>
      </c>
      <c r="D667" t="s">
        <v>118</v>
      </c>
      <c r="E667" t="s">
        <v>23</v>
      </c>
      <c r="F667">
        <v>95.608999999999995</v>
      </c>
      <c r="G667">
        <v>104.078</v>
      </c>
      <c r="H667" s="3" t="s">
        <v>1264</v>
      </c>
      <c r="I667" t="s">
        <v>1932</v>
      </c>
      <c r="J667" t="s">
        <v>1941</v>
      </c>
      <c r="U667" t="s">
        <v>1265</v>
      </c>
      <c r="V667" t="s">
        <v>1241</v>
      </c>
    </row>
    <row r="668" spans="1:22" hidden="1" x14ac:dyDescent="0.25">
      <c r="A668">
        <v>562</v>
      </c>
      <c r="C668" t="s">
        <v>1238</v>
      </c>
      <c r="D668" t="s">
        <v>118</v>
      </c>
      <c r="E668" t="s">
        <v>26</v>
      </c>
      <c r="F668">
        <v>263.91899999999998</v>
      </c>
      <c r="G668">
        <v>272.98099999999999</v>
      </c>
      <c r="H668" s="3" t="s">
        <v>1266</v>
      </c>
      <c r="I668" t="s">
        <v>1932</v>
      </c>
      <c r="J668" t="s">
        <v>1954</v>
      </c>
      <c r="U668" t="s">
        <v>1267</v>
      </c>
      <c r="V668" t="s">
        <v>1241</v>
      </c>
    </row>
    <row r="669" spans="1:22" hidden="1" x14ac:dyDescent="0.25">
      <c r="A669">
        <v>549</v>
      </c>
      <c r="C669" t="s">
        <v>1238</v>
      </c>
      <c r="D669" t="s">
        <v>19</v>
      </c>
      <c r="E669" t="s">
        <v>20</v>
      </c>
      <c r="F669">
        <v>786.52099999999996</v>
      </c>
      <c r="G669">
        <v>795.99400000000003</v>
      </c>
      <c r="H669" s="3" t="s">
        <v>1239</v>
      </c>
      <c r="I669" t="s">
        <v>1932</v>
      </c>
      <c r="J669" t="s">
        <v>1952</v>
      </c>
      <c r="U669" t="s">
        <v>1240</v>
      </c>
      <c r="V669" t="s">
        <v>1241</v>
      </c>
    </row>
    <row r="670" spans="1:22" hidden="1" x14ac:dyDescent="0.25">
      <c r="A670">
        <v>565</v>
      </c>
      <c r="C670" t="s">
        <v>1238</v>
      </c>
      <c r="D670" t="s">
        <v>47</v>
      </c>
      <c r="E670" t="s">
        <v>20</v>
      </c>
      <c r="F670">
        <v>995.57899999999995</v>
      </c>
      <c r="G670">
        <v>1004.949</v>
      </c>
      <c r="H670" s="3" t="s">
        <v>1272</v>
      </c>
      <c r="I670" t="s">
        <v>1932</v>
      </c>
      <c r="J670" t="s">
        <v>1957</v>
      </c>
      <c r="U670" t="s">
        <v>1273</v>
      </c>
      <c r="V670" t="s">
        <v>1241</v>
      </c>
    </row>
    <row r="671" spans="1:22" hidden="1" x14ac:dyDescent="0.25">
      <c r="A671">
        <v>550</v>
      </c>
      <c r="C671" t="s">
        <v>1238</v>
      </c>
      <c r="D671" t="s">
        <v>19</v>
      </c>
      <c r="E671" t="s">
        <v>23</v>
      </c>
      <c r="F671">
        <v>1197.461</v>
      </c>
      <c r="G671">
        <v>1205.9649999999999</v>
      </c>
      <c r="H671" s="3" t="s">
        <v>1242</v>
      </c>
      <c r="I671" t="s">
        <v>1932</v>
      </c>
      <c r="J671" t="s">
        <v>2101</v>
      </c>
      <c r="U671" t="s">
        <v>1243</v>
      </c>
      <c r="V671" t="s">
        <v>1241</v>
      </c>
    </row>
    <row r="672" spans="1:22" hidden="1" x14ac:dyDescent="0.25">
      <c r="A672">
        <v>566</v>
      </c>
      <c r="C672" t="s">
        <v>1238</v>
      </c>
      <c r="D672" t="s">
        <v>47</v>
      </c>
      <c r="E672" t="s">
        <v>23</v>
      </c>
      <c r="F672">
        <v>1217.694</v>
      </c>
      <c r="G672">
        <v>1228.5719999999999</v>
      </c>
      <c r="H672" s="3" t="s">
        <v>1274</v>
      </c>
      <c r="I672" t="s">
        <v>1932</v>
      </c>
      <c r="J672" t="s">
        <v>1952</v>
      </c>
      <c r="U672" t="s">
        <v>1275</v>
      </c>
      <c r="V672" t="s">
        <v>1241</v>
      </c>
    </row>
    <row r="673" spans="1:22" hidden="1" x14ac:dyDescent="0.25">
      <c r="A673">
        <v>567</v>
      </c>
      <c r="C673" t="s">
        <v>1238</v>
      </c>
      <c r="D673" t="s">
        <v>47</v>
      </c>
      <c r="E673" t="s">
        <v>26</v>
      </c>
      <c r="F673">
        <v>1438.4970000000001</v>
      </c>
      <c r="G673">
        <v>1448.509</v>
      </c>
      <c r="H673" s="3" t="s">
        <v>1276</v>
      </c>
      <c r="I673" t="s">
        <v>1932</v>
      </c>
      <c r="J673" t="s">
        <v>1952</v>
      </c>
      <c r="K673">
        <v>551</v>
      </c>
      <c r="U673" t="s">
        <v>1277</v>
      </c>
      <c r="V673" t="s">
        <v>1241</v>
      </c>
    </row>
    <row r="674" spans="1:22" hidden="1" x14ac:dyDescent="0.25">
      <c r="A674">
        <v>551</v>
      </c>
      <c r="C674" t="s">
        <v>1238</v>
      </c>
      <c r="D674" t="s">
        <v>19</v>
      </c>
      <c r="E674" t="s">
        <v>26</v>
      </c>
      <c r="F674">
        <v>1441.097</v>
      </c>
      <c r="G674">
        <v>1450.1410000000001</v>
      </c>
      <c r="H674" s="3" t="s">
        <v>1244</v>
      </c>
      <c r="I674" t="s">
        <v>1932</v>
      </c>
      <c r="J674" t="s">
        <v>1961</v>
      </c>
      <c r="K674">
        <v>567</v>
      </c>
      <c r="U674" t="s">
        <v>1245</v>
      </c>
      <c r="V674" t="s">
        <v>1241</v>
      </c>
    </row>
    <row r="675" spans="1:22" hidden="1" x14ac:dyDescent="0.25">
      <c r="A675">
        <v>568</v>
      </c>
      <c r="C675" t="s">
        <v>1238</v>
      </c>
      <c r="D675" t="s">
        <v>47</v>
      </c>
      <c r="E675" t="s">
        <v>29</v>
      </c>
      <c r="F675">
        <v>1571.4839999999999</v>
      </c>
      <c r="G675">
        <v>1581.0060000000001</v>
      </c>
      <c r="H675" s="3" t="s">
        <v>1278</v>
      </c>
      <c r="I675" t="s">
        <v>1932</v>
      </c>
      <c r="J675" t="s">
        <v>2101</v>
      </c>
      <c r="U675" t="s">
        <v>1279</v>
      </c>
      <c r="V675" t="s">
        <v>1241</v>
      </c>
    </row>
    <row r="676" spans="1:22" hidden="1" x14ac:dyDescent="0.25">
      <c r="A676">
        <v>570</v>
      </c>
      <c r="C676" t="s">
        <v>1238</v>
      </c>
      <c r="D676" t="s">
        <v>47</v>
      </c>
      <c r="E676" t="s">
        <v>35</v>
      </c>
      <c r="F676">
        <v>1794.636</v>
      </c>
      <c r="G676">
        <v>1805.652</v>
      </c>
      <c r="H676" s="3" t="s">
        <v>1282</v>
      </c>
      <c r="I676" t="s">
        <v>1932</v>
      </c>
      <c r="J676" t="s">
        <v>2101</v>
      </c>
      <c r="U676" t="s">
        <v>1283</v>
      </c>
      <c r="V676" t="s">
        <v>1241</v>
      </c>
    </row>
    <row r="677" spans="1:22" hidden="1" x14ac:dyDescent="0.25">
      <c r="A677">
        <v>552</v>
      </c>
      <c r="C677" t="s">
        <v>1238</v>
      </c>
      <c r="D677" t="s">
        <v>19</v>
      </c>
      <c r="E677" t="s">
        <v>29</v>
      </c>
      <c r="F677">
        <v>2152.6779999999999</v>
      </c>
      <c r="G677">
        <v>2161.8069999999998</v>
      </c>
      <c r="H677" s="3" t="s">
        <v>1246</v>
      </c>
      <c r="I677" t="s">
        <v>1932</v>
      </c>
      <c r="J677" t="s">
        <v>2053</v>
      </c>
      <c r="U677" t="s">
        <v>1247</v>
      </c>
      <c r="V677" t="s">
        <v>1241</v>
      </c>
    </row>
    <row r="678" spans="1:22" hidden="1" x14ac:dyDescent="0.25">
      <c r="A678">
        <v>761</v>
      </c>
      <c r="C678" t="s">
        <v>1688</v>
      </c>
      <c r="D678" t="s">
        <v>19</v>
      </c>
      <c r="E678" t="s">
        <v>32</v>
      </c>
      <c r="F678">
        <v>89.421999999999997</v>
      </c>
      <c r="G678">
        <v>99.278999999999996</v>
      </c>
      <c r="H678" s="3" t="s">
        <v>1697</v>
      </c>
      <c r="I678" t="s">
        <v>1934</v>
      </c>
      <c r="J678" t="s">
        <v>2168</v>
      </c>
      <c r="L678" t="s">
        <v>1935</v>
      </c>
      <c r="M678" t="s">
        <v>1932</v>
      </c>
      <c r="N678" t="s">
        <v>1932</v>
      </c>
      <c r="O678" t="s">
        <v>1936</v>
      </c>
      <c r="P678" t="s">
        <v>1934</v>
      </c>
      <c r="Q678">
        <v>1</v>
      </c>
      <c r="T678" t="s">
        <v>1978</v>
      </c>
      <c r="U678" t="s">
        <v>1698</v>
      </c>
    </row>
    <row r="679" spans="1:22" hidden="1" x14ac:dyDescent="0.25">
      <c r="A679">
        <v>553</v>
      </c>
      <c r="C679" t="s">
        <v>1238</v>
      </c>
      <c r="D679" t="s">
        <v>19</v>
      </c>
      <c r="E679" t="s">
        <v>32</v>
      </c>
      <c r="F679">
        <v>2155.3580000000002</v>
      </c>
      <c r="G679">
        <v>2164.152</v>
      </c>
      <c r="H679" s="3" t="s">
        <v>1248</v>
      </c>
      <c r="I679" t="s">
        <v>1932</v>
      </c>
      <c r="J679" t="s">
        <v>1952</v>
      </c>
      <c r="U679" t="s">
        <v>1249</v>
      </c>
      <c r="V679" t="s">
        <v>1241</v>
      </c>
    </row>
    <row r="680" spans="1:22" hidden="1" x14ac:dyDescent="0.25">
      <c r="A680">
        <v>764</v>
      </c>
      <c r="C680" t="s">
        <v>1688</v>
      </c>
      <c r="D680" t="s">
        <v>19</v>
      </c>
      <c r="E680" t="s">
        <v>41</v>
      </c>
      <c r="F680">
        <v>619.101</v>
      </c>
      <c r="G680">
        <v>631.66499999999996</v>
      </c>
      <c r="H680" s="3" t="s">
        <v>1703</v>
      </c>
      <c r="I680" t="s">
        <v>1934</v>
      </c>
      <c r="L680" t="s">
        <v>1932</v>
      </c>
      <c r="M680" t="s">
        <v>1932</v>
      </c>
      <c r="N680" t="s">
        <v>1932</v>
      </c>
      <c r="O680" t="s">
        <v>1936</v>
      </c>
      <c r="P680" t="s">
        <v>1934</v>
      </c>
      <c r="Q680">
        <v>1</v>
      </c>
      <c r="T680" t="s">
        <v>2072</v>
      </c>
      <c r="U680" t="s">
        <v>1704</v>
      </c>
    </row>
    <row r="681" spans="1:22" hidden="1" x14ac:dyDescent="0.25">
      <c r="A681">
        <v>765</v>
      </c>
      <c r="C681" t="s">
        <v>1688</v>
      </c>
      <c r="D681" t="s">
        <v>19</v>
      </c>
      <c r="E681" t="s">
        <v>44</v>
      </c>
      <c r="F681">
        <v>632.29999999999995</v>
      </c>
      <c r="G681">
        <v>642.91600000000005</v>
      </c>
      <c r="H681" s="3" t="s">
        <v>1705</v>
      </c>
      <c r="I681" t="s">
        <v>1934</v>
      </c>
      <c r="J681" t="s">
        <v>2075</v>
      </c>
      <c r="L681" t="s">
        <v>2012</v>
      </c>
      <c r="M681" t="s">
        <v>1932</v>
      </c>
      <c r="N681" t="s">
        <v>1932</v>
      </c>
      <c r="O681" t="s">
        <v>1936</v>
      </c>
      <c r="P681" t="s">
        <v>1934</v>
      </c>
      <c r="Q681">
        <v>1</v>
      </c>
      <c r="T681" t="s">
        <v>2074</v>
      </c>
      <c r="U681" t="s">
        <v>1706</v>
      </c>
    </row>
    <row r="682" spans="1:22" hidden="1" x14ac:dyDescent="0.25">
      <c r="A682">
        <v>571</v>
      </c>
      <c r="C682" t="s">
        <v>1238</v>
      </c>
      <c r="D682" t="s">
        <v>47</v>
      </c>
      <c r="E682" t="s">
        <v>38</v>
      </c>
      <c r="F682">
        <v>2177.386</v>
      </c>
      <c r="G682">
        <v>2188.4430000000002</v>
      </c>
      <c r="H682" s="3" t="s">
        <v>1284</v>
      </c>
      <c r="I682" t="s">
        <v>1932</v>
      </c>
      <c r="J682" t="s">
        <v>1952</v>
      </c>
      <c r="K682">
        <v>564</v>
      </c>
      <c r="U682" t="s">
        <v>1285</v>
      </c>
      <c r="V682" t="s">
        <v>1241</v>
      </c>
    </row>
    <row r="683" spans="1:22" hidden="1" x14ac:dyDescent="0.25">
      <c r="A683">
        <v>564</v>
      </c>
      <c r="C683" t="s">
        <v>1238</v>
      </c>
      <c r="D683" t="s">
        <v>118</v>
      </c>
      <c r="E683" t="s">
        <v>32</v>
      </c>
      <c r="F683">
        <v>2181.1109999999999</v>
      </c>
      <c r="G683">
        <v>2189.5079999999998</v>
      </c>
      <c r="H683" s="3" t="s">
        <v>1270</v>
      </c>
      <c r="I683" t="s">
        <v>1932</v>
      </c>
      <c r="J683" t="s">
        <v>1952</v>
      </c>
      <c r="K683">
        <v>571</v>
      </c>
      <c r="U683" t="s">
        <v>1271</v>
      </c>
      <c r="V683" t="s">
        <v>1241</v>
      </c>
    </row>
    <row r="684" spans="1:22" hidden="1" x14ac:dyDescent="0.25">
      <c r="A684">
        <v>554</v>
      </c>
      <c r="C684" t="s">
        <v>1238</v>
      </c>
      <c r="D684" t="s">
        <v>19</v>
      </c>
      <c r="E684" t="s">
        <v>35</v>
      </c>
      <c r="F684">
        <v>2225.1619999999998</v>
      </c>
      <c r="G684">
        <v>2234.413</v>
      </c>
      <c r="H684" s="3" t="s">
        <v>1250</v>
      </c>
      <c r="I684" t="s">
        <v>1932</v>
      </c>
      <c r="J684" t="s">
        <v>2101</v>
      </c>
      <c r="U684" t="s">
        <v>1251</v>
      </c>
      <c r="V684" t="s">
        <v>1241</v>
      </c>
    </row>
    <row r="685" spans="1:22" hidden="1" x14ac:dyDescent="0.25">
      <c r="A685">
        <v>555</v>
      </c>
      <c r="C685" t="s">
        <v>1238</v>
      </c>
      <c r="D685" t="s">
        <v>19</v>
      </c>
      <c r="E685" t="s">
        <v>38</v>
      </c>
      <c r="F685">
        <v>2238.011</v>
      </c>
      <c r="G685">
        <v>2248.5189999999998</v>
      </c>
      <c r="H685" s="3" t="s">
        <v>1252</v>
      </c>
      <c r="I685" t="s">
        <v>1932</v>
      </c>
      <c r="U685" t="s">
        <v>1253</v>
      </c>
      <c r="V685" t="s">
        <v>1241</v>
      </c>
    </row>
    <row r="686" spans="1:22" hidden="1" x14ac:dyDescent="0.25">
      <c r="A686">
        <v>792</v>
      </c>
      <c r="C686" t="s">
        <v>1732</v>
      </c>
      <c r="D686" t="s">
        <v>118</v>
      </c>
      <c r="E686" t="s">
        <v>29</v>
      </c>
      <c r="F686">
        <v>1636.4880000000001</v>
      </c>
      <c r="G686">
        <v>1646.585</v>
      </c>
      <c r="H686" s="3" t="s">
        <v>1759</v>
      </c>
      <c r="I686" t="s">
        <v>1934</v>
      </c>
      <c r="J686" t="s">
        <v>1952</v>
      </c>
      <c r="L686" t="s">
        <v>1932</v>
      </c>
      <c r="M686" t="s">
        <v>1932</v>
      </c>
      <c r="N686" t="s">
        <v>1932</v>
      </c>
      <c r="O686" t="s">
        <v>1936</v>
      </c>
      <c r="P686" t="s">
        <v>1932</v>
      </c>
      <c r="Q686">
        <v>2</v>
      </c>
      <c r="T686" t="s">
        <v>2137</v>
      </c>
      <c r="U686" t="s">
        <v>1760</v>
      </c>
    </row>
    <row r="687" spans="1:22" hidden="1" x14ac:dyDescent="0.25">
      <c r="A687">
        <v>556</v>
      </c>
      <c r="C687" t="s">
        <v>1238</v>
      </c>
      <c r="D687" t="s">
        <v>19</v>
      </c>
      <c r="E687" t="s">
        <v>41</v>
      </c>
      <c r="F687">
        <v>2551.096</v>
      </c>
      <c r="G687">
        <v>2561.2020000000002</v>
      </c>
      <c r="H687" s="3" t="s">
        <v>1254</v>
      </c>
      <c r="I687" t="s">
        <v>1932</v>
      </c>
      <c r="J687" t="s">
        <v>2101</v>
      </c>
      <c r="U687" t="s">
        <v>1255</v>
      </c>
      <c r="V687" t="s">
        <v>1241</v>
      </c>
    </row>
    <row r="688" spans="1:22" hidden="1" x14ac:dyDescent="0.25">
      <c r="A688">
        <v>557</v>
      </c>
      <c r="C688" t="s">
        <v>1238</v>
      </c>
      <c r="D688" t="s">
        <v>19</v>
      </c>
      <c r="E688" t="s">
        <v>44</v>
      </c>
      <c r="F688">
        <v>2602.596</v>
      </c>
      <c r="G688">
        <v>2614.1990000000001</v>
      </c>
      <c r="H688" s="3" t="s">
        <v>1256</v>
      </c>
      <c r="I688" t="s">
        <v>1932</v>
      </c>
      <c r="J688" t="s">
        <v>1952</v>
      </c>
      <c r="U688" t="s">
        <v>1257</v>
      </c>
      <c r="V688" t="s">
        <v>1241</v>
      </c>
    </row>
    <row r="689" spans="1:22" hidden="1" x14ac:dyDescent="0.25">
      <c r="A689">
        <v>558</v>
      </c>
      <c r="C689" t="s">
        <v>1238</v>
      </c>
      <c r="D689" t="s">
        <v>19</v>
      </c>
      <c r="E689" t="s">
        <v>85</v>
      </c>
      <c r="F689">
        <v>2611.2910000000002</v>
      </c>
      <c r="G689">
        <v>2620.0390000000002</v>
      </c>
      <c r="H689" s="3" t="s">
        <v>1258</v>
      </c>
      <c r="I689" t="s">
        <v>1932</v>
      </c>
      <c r="J689" t="s">
        <v>2101</v>
      </c>
      <c r="U689" t="s">
        <v>1259</v>
      </c>
      <c r="V689" t="s">
        <v>1241</v>
      </c>
    </row>
    <row r="690" spans="1:22" hidden="1" x14ac:dyDescent="0.25">
      <c r="A690">
        <v>572</v>
      </c>
      <c r="C690" t="s">
        <v>1238</v>
      </c>
      <c r="D690" t="s">
        <v>47</v>
      </c>
      <c r="E690" t="s">
        <v>41</v>
      </c>
      <c r="F690">
        <v>2826.81</v>
      </c>
      <c r="G690">
        <v>2835.5680000000002</v>
      </c>
      <c r="H690" s="3" t="s">
        <v>1286</v>
      </c>
      <c r="I690" t="s">
        <v>1932</v>
      </c>
      <c r="J690" t="s">
        <v>1933</v>
      </c>
      <c r="U690" t="s">
        <v>1287</v>
      </c>
      <c r="V690" t="s">
        <v>1241</v>
      </c>
    </row>
    <row r="691" spans="1:22" hidden="1" x14ac:dyDescent="0.25">
      <c r="A691">
        <v>573</v>
      </c>
      <c r="C691" t="s">
        <v>1238</v>
      </c>
      <c r="D691" t="s">
        <v>47</v>
      </c>
      <c r="E691" t="s">
        <v>44</v>
      </c>
      <c r="F691">
        <v>3288.3679999999999</v>
      </c>
      <c r="G691">
        <v>3297.277</v>
      </c>
      <c r="H691" s="3" t="s">
        <v>1288</v>
      </c>
      <c r="I691" t="s">
        <v>1932</v>
      </c>
      <c r="J691" t="s">
        <v>1948</v>
      </c>
      <c r="U691" t="s">
        <v>1289</v>
      </c>
    </row>
    <row r="692" spans="1:22" hidden="1" x14ac:dyDescent="0.25">
      <c r="A692">
        <v>574</v>
      </c>
      <c r="C692" t="s">
        <v>1238</v>
      </c>
      <c r="D692" t="s">
        <v>47</v>
      </c>
      <c r="E692" t="s">
        <v>85</v>
      </c>
      <c r="F692">
        <v>3553.88</v>
      </c>
      <c r="G692">
        <v>3562.5619999999999</v>
      </c>
      <c r="H692" s="3" t="s">
        <v>1290</v>
      </c>
      <c r="I692" t="s">
        <v>1932</v>
      </c>
      <c r="J692" t="s">
        <v>2101</v>
      </c>
      <c r="U692" t="s">
        <v>1291</v>
      </c>
    </row>
    <row r="693" spans="1:22" hidden="1" x14ac:dyDescent="0.25">
      <c r="A693">
        <v>559</v>
      </c>
      <c r="C693" t="s">
        <v>1238</v>
      </c>
      <c r="D693" t="s">
        <v>19</v>
      </c>
      <c r="E693" t="s">
        <v>88</v>
      </c>
      <c r="F693">
        <v>3737.0940000000001</v>
      </c>
      <c r="G693">
        <v>3748.9479999999999</v>
      </c>
      <c r="H693" s="3" t="s">
        <v>1260</v>
      </c>
      <c r="I693" t="s">
        <v>1932</v>
      </c>
      <c r="J693" t="s">
        <v>2101</v>
      </c>
      <c r="U693" t="s">
        <v>1261</v>
      </c>
    </row>
    <row r="694" spans="1:22" hidden="1" x14ac:dyDescent="0.25">
      <c r="A694">
        <v>575</v>
      </c>
      <c r="C694" t="s">
        <v>1292</v>
      </c>
      <c r="D694" t="s">
        <v>19</v>
      </c>
      <c r="E694" t="s">
        <v>20</v>
      </c>
      <c r="F694">
        <v>60.232999999999997</v>
      </c>
      <c r="G694">
        <v>68.721999999999994</v>
      </c>
      <c r="H694" s="3" t="s">
        <v>1293</v>
      </c>
      <c r="I694" t="s">
        <v>1932</v>
      </c>
      <c r="J694" t="s">
        <v>2101</v>
      </c>
      <c r="U694" t="s">
        <v>1294</v>
      </c>
      <c r="V694" t="s">
        <v>1135</v>
      </c>
    </row>
    <row r="695" spans="1:22" hidden="1" x14ac:dyDescent="0.25">
      <c r="A695">
        <v>582</v>
      </c>
      <c r="C695" t="s">
        <v>1292</v>
      </c>
      <c r="D695" t="s">
        <v>47</v>
      </c>
      <c r="E695" t="s">
        <v>23</v>
      </c>
      <c r="F695">
        <v>601.87800000000004</v>
      </c>
      <c r="G695">
        <v>612.68200000000002</v>
      </c>
      <c r="H695" s="3" t="s">
        <v>1307</v>
      </c>
      <c r="I695" t="s">
        <v>1932</v>
      </c>
      <c r="J695" t="s">
        <v>2106</v>
      </c>
      <c r="U695" t="s">
        <v>1308</v>
      </c>
      <c r="V695" t="s">
        <v>1135</v>
      </c>
    </row>
    <row r="696" spans="1:22" hidden="1" x14ac:dyDescent="0.25">
      <c r="A696">
        <v>581</v>
      </c>
      <c r="C696" t="s">
        <v>1292</v>
      </c>
      <c r="D696" t="s">
        <v>47</v>
      </c>
      <c r="E696" t="s">
        <v>20</v>
      </c>
      <c r="F696">
        <v>590.09500000000003</v>
      </c>
      <c r="G696">
        <v>598.50900000000001</v>
      </c>
      <c r="H696" s="3" t="s">
        <v>1305</v>
      </c>
      <c r="I696" t="s">
        <v>1932</v>
      </c>
      <c r="J696" t="s">
        <v>1954</v>
      </c>
      <c r="U696" t="s">
        <v>1306</v>
      </c>
      <c r="V696" t="s">
        <v>1135</v>
      </c>
    </row>
    <row r="697" spans="1:22" hidden="1" x14ac:dyDescent="0.25">
      <c r="A697">
        <v>583</v>
      </c>
      <c r="C697" t="s">
        <v>1292</v>
      </c>
      <c r="D697" t="s">
        <v>47</v>
      </c>
      <c r="E697" t="s">
        <v>26</v>
      </c>
      <c r="F697">
        <v>985.346</v>
      </c>
      <c r="G697">
        <v>996.29100000000005</v>
      </c>
      <c r="H697" s="3" t="s">
        <v>1309</v>
      </c>
      <c r="I697" t="s">
        <v>1932</v>
      </c>
      <c r="J697" t="s">
        <v>2101</v>
      </c>
      <c r="U697" t="s">
        <v>1310</v>
      </c>
      <c r="V697" t="s">
        <v>1135</v>
      </c>
    </row>
    <row r="698" spans="1:22" hidden="1" x14ac:dyDescent="0.25">
      <c r="A698">
        <v>584</v>
      </c>
      <c r="C698" t="s">
        <v>1292</v>
      </c>
      <c r="D698" t="s">
        <v>47</v>
      </c>
      <c r="E698" t="s">
        <v>29</v>
      </c>
      <c r="F698">
        <v>1377.0889999999999</v>
      </c>
      <c r="G698">
        <v>1388.87</v>
      </c>
      <c r="H698" s="3" t="s">
        <v>1311</v>
      </c>
      <c r="I698" t="s">
        <v>1932</v>
      </c>
      <c r="J698" t="s">
        <v>2054</v>
      </c>
      <c r="U698" t="s">
        <v>1312</v>
      </c>
      <c r="V698" t="s">
        <v>1135</v>
      </c>
    </row>
    <row r="699" spans="1:22" hidden="1" x14ac:dyDescent="0.25">
      <c r="A699">
        <v>585</v>
      </c>
      <c r="C699" t="s">
        <v>1292</v>
      </c>
      <c r="D699" t="s">
        <v>47</v>
      </c>
      <c r="E699" t="s">
        <v>32</v>
      </c>
      <c r="F699">
        <v>2469.2449999999999</v>
      </c>
      <c r="G699">
        <v>2478.7660000000001</v>
      </c>
      <c r="H699" s="3" t="s">
        <v>1313</v>
      </c>
      <c r="I699" t="s">
        <v>1932</v>
      </c>
      <c r="J699" t="s">
        <v>2101</v>
      </c>
      <c r="U699" t="s">
        <v>1314</v>
      </c>
      <c r="V699" t="s">
        <v>1135</v>
      </c>
    </row>
    <row r="700" spans="1:22" hidden="1" x14ac:dyDescent="0.25">
      <c r="A700">
        <v>577</v>
      </c>
      <c r="C700" t="s">
        <v>1292</v>
      </c>
      <c r="D700" t="s">
        <v>19</v>
      </c>
      <c r="E700" t="s">
        <v>26</v>
      </c>
      <c r="F700">
        <v>2485.623</v>
      </c>
      <c r="G700">
        <v>2497.5309999999999</v>
      </c>
      <c r="H700" s="3" t="s">
        <v>1297</v>
      </c>
      <c r="I700" t="s">
        <v>1932</v>
      </c>
      <c r="J700" t="s">
        <v>2101</v>
      </c>
      <c r="U700" t="s">
        <v>1298</v>
      </c>
      <c r="V700" t="s">
        <v>1135</v>
      </c>
    </row>
    <row r="701" spans="1:22" hidden="1" x14ac:dyDescent="0.25">
      <c r="A701">
        <v>580</v>
      </c>
      <c r="C701" t="s">
        <v>1292</v>
      </c>
      <c r="D701" t="s">
        <v>118</v>
      </c>
      <c r="E701" t="s">
        <v>23</v>
      </c>
      <c r="F701">
        <v>2650.9380000000001</v>
      </c>
      <c r="G701">
        <v>2661.44</v>
      </c>
      <c r="H701" s="3" t="s">
        <v>1303</v>
      </c>
      <c r="I701" t="s">
        <v>1932</v>
      </c>
      <c r="J701" t="s">
        <v>2101</v>
      </c>
      <c r="U701" t="s">
        <v>1304</v>
      </c>
      <c r="V701" t="s">
        <v>1135</v>
      </c>
    </row>
    <row r="702" spans="1:22" hidden="1" x14ac:dyDescent="0.25">
      <c r="A702">
        <v>587</v>
      </c>
      <c r="C702" t="s">
        <v>1292</v>
      </c>
      <c r="D702" t="s">
        <v>47</v>
      </c>
      <c r="E702" t="s">
        <v>38</v>
      </c>
      <c r="F702">
        <v>3166.7469999999998</v>
      </c>
      <c r="G702">
        <v>3176.4859999999999</v>
      </c>
      <c r="H702" s="3" t="s">
        <v>1318</v>
      </c>
      <c r="I702" t="s">
        <v>1932</v>
      </c>
      <c r="J702" t="s">
        <v>1947</v>
      </c>
      <c r="U702" t="s">
        <v>1319</v>
      </c>
      <c r="V702" t="s">
        <v>1320</v>
      </c>
    </row>
    <row r="703" spans="1:22" hidden="1" x14ac:dyDescent="0.25">
      <c r="A703">
        <v>588</v>
      </c>
      <c r="C703" t="s">
        <v>1292</v>
      </c>
      <c r="D703" t="s">
        <v>47</v>
      </c>
      <c r="E703" t="s">
        <v>41</v>
      </c>
      <c r="F703">
        <v>3558.982</v>
      </c>
      <c r="G703">
        <v>3571.66</v>
      </c>
      <c r="H703" s="3" t="s">
        <v>1321</v>
      </c>
      <c r="I703" t="s">
        <v>1932</v>
      </c>
      <c r="J703" t="s">
        <v>2101</v>
      </c>
      <c r="U703" t="s">
        <v>1322</v>
      </c>
    </row>
    <row r="704" spans="1:22" hidden="1" x14ac:dyDescent="0.25">
      <c r="A704">
        <v>589</v>
      </c>
      <c r="C704" t="s">
        <v>1292</v>
      </c>
      <c r="D704" t="s">
        <v>47</v>
      </c>
      <c r="E704" t="s">
        <v>44</v>
      </c>
      <c r="F704">
        <v>3574.03</v>
      </c>
      <c r="G704">
        <v>3582.665</v>
      </c>
      <c r="H704" s="3" t="s">
        <v>1323</v>
      </c>
      <c r="I704" t="s">
        <v>1932</v>
      </c>
      <c r="J704" t="s">
        <v>2101</v>
      </c>
      <c r="U704" t="s">
        <v>1324</v>
      </c>
    </row>
    <row r="705" spans="1:31" hidden="1" x14ac:dyDescent="0.25">
      <c r="A705">
        <v>578</v>
      </c>
      <c r="C705" t="s">
        <v>1292</v>
      </c>
      <c r="D705" t="s">
        <v>19</v>
      </c>
      <c r="E705" t="s">
        <v>29</v>
      </c>
      <c r="F705">
        <v>3606.1979999999999</v>
      </c>
      <c r="G705">
        <v>3616.2060000000001</v>
      </c>
      <c r="H705" s="3" t="s">
        <v>1299</v>
      </c>
      <c r="I705" t="s">
        <v>1932</v>
      </c>
      <c r="J705" t="s">
        <v>2101</v>
      </c>
      <c r="K705">
        <v>590</v>
      </c>
      <c r="U705" t="s">
        <v>1300</v>
      </c>
    </row>
    <row r="706" spans="1:31" x14ac:dyDescent="0.25">
      <c r="A706">
        <v>806</v>
      </c>
      <c r="C706" t="s">
        <v>1732</v>
      </c>
      <c r="D706" t="s">
        <v>47</v>
      </c>
      <c r="E706" t="s">
        <v>91</v>
      </c>
      <c r="F706">
        <v>2420.922</v>
      </c>
      <c r="G706">
        <v>2430.2139999999999</v>
      </c>
      <c r="H706" s="3" t="s">
        <v>1787</v>
      </c>
      <c r="I706" t="s">
        <v>1934</v>
      </c>
      <c r="L706" t="s">
        <v>1932</v>
      </c>
      <c r="M706" t="s">
        <v>1932</v>
      </c>
      <c r="N706" t="s">
        <v>1932</v>
      </c>
      <c r="O706" t="s">
        <v>1936</v>
      </c>
      <c r="P706" t="s">
        <v>2095</v>
      </c>
      <c r="Q706">
        <v>4</v>
      </c>
      <c r="T706" t="s">
        <v>2174</v>
      </c>
      <c r="U706" t="s">
        <v>1788</v>
      </c>
    </row>
    <row r="707" spans="1:31" hidden="1" x14ac:dyDescent="0.25">
      <c r="A707">
        <v>590</v>
      </c>
      <c r="C707" t="s">
        <v>1292</v>
      </c>
      <c r="D707" t="s">
        <v>47</v>
      </c>
      <c r="E707" t="s">
        <v>85</v>
      </c>
      <c r="F707">
        <v>3610.5619999999999</v>
      </c>
      <c r="G707">
        <v>3621.3829999999998</v>
      </c>
      <c r="H707" s="3" t="s">
        <v>1325</v>
      </c>
      <c r="I707" t="s">
        <v>1932</v>
      </c>
      <c r="J707" t="s">
        <v>2101</v>
      </c>
      <c r="K707">
        <v>578</v>
      </c>
      <c r="U707" t="s">
        <v>1326</v>
      </c>
    </row>
    <row r="708" spans="1:31" hidden="1" x14ac:dyDescent="0.25">
      <c r="A708">
        <v>591</v>
      </c>
      <c r="C708" t="s">
        <v>1327</v>
      </c>
      <c r="D708" t="s">
        <v>19</v>
      </c>
      <c r="E708" t="s">
        <v>20</v>
      </c>
      <c r="F708">
        <v>286.29399999999998</v>
      </c>
      <c r="G708">
        <v>296.423</v>
      </c>
      <c r="H708" t="s">
        <v>1328</v>
      </c>
      <c r="I708" t="s">
        <v>1932</v>
      </c>
      <c r="J708" t="s">
        <v>1943</v>
      </c>
      <c r="U708" t="s">
        <v>1329</v>
      </c>
      <c r="V708" t="s">
        <v>1330</v>
      </c>
    </row>
    <row r="709" spans="1:31" hidden="1" x14ac:dyDescent="0.25">
      <c r="A709">
        <v>595</v>
      </c>
      <c r="C709" t="s">
        <v>1327</v>
      </c>
      <c r="D709" t="s">
        <v>19</v>
      </c>
      <c r="E709" t="s">
        <v>32</v>
      </c>
      <c r="F709">
        <v>746.98400000000004</v>
      </c>
      <c r="G709">
        <v>755.68</v>
      </c>
      <c r="H709" s="3" t="s">
        <v>1337</v>
      </c>
      <c r="I709" t="s">
        <v>1932</v>
      </c>
      <c r="J709" t="s">
        <v>2082</v>
      </c>
      <c r="R709" t="s">
        <v>1970</v>
      </c>
      <c r="T709" t="s">
        <v>2081</v>
      </c>
      <c r="U709" t="s">
        <v>1338</v>
      </c>
      <c r="V709" t="s">
        <v>1330</v>
      </c>
    </row>
    <row r="710" spans="1:31" hidden="1" x14ac:dyDescent="0.25">
      <c r="A710">
        <v>600</v>
      </c>
      <c r="C710" t="s">
        <v>1327</v>
      </c>
      <c r="D710" t="s">
        <v>118</v>
      </c>
      <c r="E710" t="s">
        <v>26</v>
      </c>
      <c r="F710">
        <v>230.15600000000001</v>
      </c>
      <c r="G710">
        <v>239.90899999999999</v>
      </c>
      <c r="H710" t="s">
        <v>1347</v>
      </c>
      <c r="I710" t="s">
        <v>1932</v>
      </c>
      <c r="J710" t="s">
        <v>1948</v>
      </c>
      <c r="U710" t="s">
        <v>1348</v>
      </c>
      <c r="V710" t="s">
        <v>1330</v>
      </c>
    </row>
    <row r="711" spans="1:31" hidden="1" x14ac:dyDescent="0.25">
      <c r="A711">
        <v>614</v>
      </c>
      <c r="C711" t="s">
        <v>1327</v>
      </c>
      <c r="D711" t="s">
        <v>47</v>
      </c>
      <c r="E711" t="s">
        <v>20</v>
      </c>
      <c r="F711">
        <v>364.60899999999998</v>
      </c>
      <c r="G711">
        <v>373.05200000000002</v>
      </c>
      <c r="H711" s="3" t="s">
        <v>1380</v>
      </c>
      <c r="I711" t="s">
        <v>1932</v>
      </c>
      <c r="J711" t="s">
        <v>1961</v>
      </c>
      <c r="U711" t="s">
        <v>1381</v>
      </c>
      <c r="V711" t="s">
        <v>1330</v>
      </c>
    </row>
    <row r="712" spans="1:31" hidden="1" x14ac:dyDescent="0.25">
      <c r="A712">
        <v>615</v>
      </c>
      <c r="C712" t="s">
        <v>1327</v>
      </c>
      <c r="D712" t="s">
        <v>47</v>
      </c>
      <c r="E712" t="s">
        <v>23</v>
      </c>
      <c r="F712">
        <v>373.00099999999998</v>
      </c>
      <c r="G712">
        <v>383.28</v>
      </c>
      <c r="H712" s="3" t="s">
        <v>1382</v>
      </c>
      <c r="I712" t="s">
        <v>1932</v>
      </c>
      <c r="J712" t="s">
        <v>1948</v>
      </c>
      <c r="U712" t="s">
        <v>1383</v>
      </c>
      <c r="V712" t="s">
        <v>1330</v>
      </c>
    </row>
    <row r="713" spans="1:31" hidden="1" x14ac:dyDescent="0.25">
      <c r="A713">
        <v>603</v>
      </c>
      <c r="C713" t="s">
        <v>1327</v>
      </c>
      <c r="D713" t="s">
        <v>118</v>
      </c>
      <c r="E713" t="s">
        <v>35</v>
      </c>
      <c r="F713">
        <v>543.80799999999999</v>
      </c>
      <c r="G713">
        <v>552.529</v>
      </c>
      <c r="H713" s="3" t="s">
        <v>1353</v>
      </c>
      <c r="I713" t="s">
        <v>1932</v>
      </c>
      <c r="J713" t="s">
        <v>1939</v>
      </c>
      <c r="U713" t="s">
        <v>1354</v>
      </c>
      <c r="V713" t="s">
        <v>1330</v>
      </c>
    </row>
    <row r="714" spans="1:31" hidden="1" x14ac:dyDescent="0.25">
      <c r="A714">
        <v>593</v>
      </c>
      <c r="C714" t="s">
        <v>1327</v>
      </c>
      <c r="D714" t="s">
        <v>19</v>
      </c>
      <c r="E714" t="s">
        <v>26</v>
      </c>
      <c r="F714">
        <v>596.26099999999997</v>
      </c>
      <c r="G714">
        <v>607.65599999999995</v>
      </c>
      <c r="H714" s="3" t="s">
        <v>1333</v>
      </c>
      <c r="I714" t="s">
        <v>1932</v>
      </c>
      <c r="J714" t="s">
        <v>1940</v>
      </c>
      <c r="U714" t="s">
        <v>1334</v>
      </c>
      <c r="V714" t="s">
        <v>1330</v>
      </c>
    </row>
    <row r="715" spans="1:31" hidden="1" x14ac:dyDescent="0.25">
      <c r="A715">
        <v>604</v>
      </c>
      <c r="C715" t="s">
        <v>1327</v>
      </c>
      <c r="D715" t="s">
        <v>118</v>
      </c>
      <c r="E715" t="s">
        <v>38</v>
      </c>
      <c r="F715">
        <v>983.54899999999998</v>
      </c>
      <c r="G715">
        <v>993.12599999999998</v>
      </c>
      <c r="H715" s="3" t="s">
        <v>1355</v>
      </c>
      <c r="I715" t="s">
        <v>1932</v>
      </c>
      <c r="J715" t="s">
        <v>1957</v>
      </c>
      <c r="U715" t="s">
        <v>1356</v>
      </c>
      <c r="V715" t="s">
        <v>1357</v>
      </c>
    </row>
    <row r="716" spans="1:31" hidden="1" x14ac:dyDescent="0.25">
      <c r="A716">
        <v>605</v>
      </c>
      <c r="C716" t="s">
        <v>1327</v>
      </c>
      <c r="D716" t="s">
        <v>118</v>
      </c>
      <c r="E716" t="s">
        <v>41</v>
      </c>
      <c r="F716">
        <v>987.00199999999995</v>
      </c>
      <c r="G716">
        <v>996.678</v>
      </c>
      <c r="H716" s="3" t="s">
        <v>1358</v>
      </c>
      <c r="I716" t="s">
        <v>1932</v>
      </c>
      <c r="J716" t="s">
        <v>2101</v>
      </c>
      <c r="U716" t="s">
        <v>1359</v>
      </c>
      <c r="V716" t="s">
        <v>1360</v>
      </c>
    </row>
    <row r="717" spans="1:31" hidden="1" x14ac:dyDescent="0.25">
      <c r="A717">
        <v>606</v>
      </c>
      <c r="C717" t="s">
        <v>1327</v>
      </c>
      <c r="D717" t="s">
        <v>118</v>
      </c>
      <c r="E717" t="s">
        <v>44</v>
      </c>
      <c r="F717">
        <v>991.57</v>
      </c>
      <c r="G717">
        <v>1000.1130000000001</v>
      </c>
      <c r="H717" s="3" t="s">
        <v>1361</v>
      </c>
      <c r="I717" t="s">
        <v>1932</v>
      </c>
      <c r="J717" t="s">
        <v>2101</v>
      </c>
      <c r="U717" t="s">
        <v>1362</v>
      </c>
      <c r="V717" t="s">
        <v>1363</v>
      </c>
    </row>
    <row r="718" spans="1:31" hidden="1" x14ac:dyDescent="0.25">
      <c r="A718">
        <v>607</v>
      </c>
      <c r="C718" t="s">
        <v>1327</v>
      </c>
      <c r="D718" t="s">
        <v>118</v>
      </c>
      <c r="E718" t="s">
        <v>85</v>
      </c>
      <c r="F718">
        <v>1043.144</v>
      </c>
      <c r="G718">
        <v>1052.3620000000001</v>
      </c>
      <c r="H718" s="3" t="s">
        <v>1364</v>
      </c>
      <c r="I718" t="s">
        <v>1932</v>
      </c>
      <c r="J718" t="s">
        <v>2106</v>
      </c>
      <c r="U718" t="s">
        <v>1365</v>
      </c>
      <c r="V718" t="s">
        <v>1366</v>
      </c>
    </row>
    <row r="719" spans="1:31" hidden="1" x14ac:dyDescent="0.25">
      <c r="A719">
        <v>601</v>
      </c>
      <c r="B719" t="s">
        <v>2290</v>
      </c>
      <c r="C719" t="s">
        <v>1327</v>
      </c>
      <c r="D719" t="s">
        <v>118</v>
      </c>
      <c r="E719" t="s">
        <v>29</v>
      </c>
      <c r="F719">
        <v>238.96700000000001</v>
      </c>
      <c r="G719">
        <v>247.565</v>
      </c>
      <c r="H719" s="3" t="s">
        <v>1349</v>
      </c>
      <c r="I719" t="s">
        <v>1934</v>
      </c>
      <c r="J719" t="s">
        <v>2223</v>
      </c>
      <c r="L719" t="s">
        <v>1932</v>
      </c>
      <c r="M719" t="s">
        <v>1932</v>
      </c>
      <c r="N719" t="s">
        <v>1932</v>
      </c>
      <c r="O719" t="s">
        <v>1942</v>
      </c>
      <c r="P719" t="s">
        <v>2095</v>
      </c>
      <c r="Q719">
        <v>4</v>
      </c>
      <c r="T719" t="s">
        <v>2224</v>
      </c>
      <c r="U719" t="s">
        <v>1350</v>
      </c>
      <c r="V719" t="s">
        <v>1330</v>
      </c>
      <c r="W719" t="s">
        <v>2373</v>
      </c>
      <c r="X719">
        <v>2</v>
      </c>
      <c r="Y719" t="s">
        <v>2299</v>
      </c>
      <c r="Z719" s="5"/>
      <c r="AA719">
        <v>1</v>
      </c>
      <c r="AC719" s="5"/>
      <c r="AD719">
        <v>2</v>
      </c>
      <c r="AE719" t="s">
        <v>2310</v>
      </c>
    </row>
    <row r="720" spans="1:31" hidden="1" x14ac:dyDescent="0.25">
      <c r="A720">
        <v>608</v>
      </c>
      <c r="C720" t="s">
        <v>1327</v>
      </c>
      <c r="D720" t="s">
        <v>118</v>
      </c>
      <c r="E720" t="s">
        <v>88</v>
      </c>
      <c r="F720">
        <v>1155.2439999999999</v>
      </c>
      <c r="G720">
        <v>1163.8340000000001</v>
      </c>
      <c r="H720" s="3" t="s">
        <v>1367</v>
      </c>
      <c r="I720" t="s">
        <v>1932</v>
      </c>
      <c r="J720" t="s">
        <v>1948</v>
      </c>
      <c r="U720" t="s">
        <v>1368</v>
      </c>
      <c r="V720" t="s">
        <v>1369</v>
      </c>
    </row>
    <row r="721" spans="1:31" hidden="1" x14ac:dyDescent="0.25">
      <c r="A721">
        <v>617</v>
      </c>
      <c r="C721" t="s">
        <v>1327</v>
      </c>
      <c r="D721" t="s">
        <v>47</v>
      </c>
      <c r="E721" t="s">
        <v>29</v>
      </c>
      <c r="F721">
        <v>1193.731</v>
      </c>
      <c r="G721">
        <v>1202.1880000000001</v>
      </c>
      <c r="H721" s="3" t="s">
        <v>1386</v>
      </c>
      <c r="I721" t="s">
        <v>1932</v>
      </c>
      <c r="J721" t="s">
        <v>2101</v>
      </c>
      <c r="U721" t="s">
        <v>1387</v>
      </c>
      <c r="V721" t="s">
        <v>1388</v>
      </c>
    </row>
    <row r="722" spans="1:31" hidden="1" x14ac:dyDescent="0.25">
      <c r="A722">
        <v>609</v>
      </c>
      <c r="C722" t="s">
        <v>1327</v>
      </c>
      <c r="D722" t="s">
        <v>118</v>
      </c>
      <c r="E722" t="s">
        <v>91</v>
      </c>
      <c r="F722">
        <v>1355.289</v>
      </c>
      <c r="G722">
        <v>1364.912</v>
      </c>
      <c r="H722" s="3" t="s">
        <v>1370</v>
      </c>
      <c r="I722" t="s">
        <v>1932</v>
      </c>
      <c r="J722" t="s">
        <v>2125</v>
      </c>
      <c r="U722" t="s">
        <v>1371</v>
      </c>
    </row>
    <row r="723" spans="1:31" hidden="1" x14ac:dyDescent="0.25">
      <c r="A723">
        <v>610</v>
      </c>
      <c r="C723" t="s">
        <v>1327</v>
      </c>
      <c r="D723" t="s">
        <v>118</v>
      </c>
      <c r="E723" t="s">
        <v>94</v>
      </c>
      <c r="F723">
        <v>2082.181</v>
      </c>
      <c r="G723">
        <v>2091.33</v>
      </c>
      <c r="H723" s="3" t="s">
        <v>1372</v>
      </c>
      <c r="I723" t="s">
        <v>1932</v>
      </c>
      <c r="J723" t="s">
        <v>2101</v>
      </c>
      <c r="K723">
        <v>611</v>
      </c>
      <c r="U723" t="s">
        <v>1373</v>
      </c>
    </row>
    <row r="724" spans="1:31" hidden="1" x14ac:dyDescent="0.25">
      <c r="A724">
        <v>611</v>
      </c>
      <c r="C724" t="s">
        <v>1327</v>
      </c>
      <c r="D724" t="s">
        <v>118</v>
      </c>
      <c r="E724" t="s">
        <v>97</v>
      </c>
      <c r="F724">
        <v>2084.94</v>
      </c>
      <c r="G724">
        <v>2095.2249999999999</v>
      </c>
      <c r="H724" s="3" t="s">
        <v>1374</v>
      </c>
      <c r="I724" t="s">
        <v>1932</v>
      </c>
      <c r="J724" t="s">
        <v>2101</v>
      </c>
      <c r="K724">
        <v>610</v>
      </c>
      <c r="U724" t="s">
        <v>1375</v>
      </c>
    </row>
    <row r="725" spans="1:31" hidden="1" x14ac:dyDescent="0.25">
      <c r="A725">
        <v>612</v>
      </c>
      <c r="C725" t="s">
        <v>1327</v>
      </c>
      <c r="D725" t="s">
        <v>118</v>
      </c>
      <c r="E725" t="s">
        <v>100</v>
      </c>
      <c r="F725">
        <v>2265.442</v>
      </c>
      <c r="G725">
        <v>2274.12</v>
      </c>
      <c r="H725" s="3" t="s">
        <v>1376</v>
      </c>
      <c r="I725" t="s">
        <v>1932</v>
      </c>
      <c r="J725" t="s">
        <v>1940</v>
      </c>
      <c r="U725" t="s">
        <v>1377</v>
      </c>
    </row>
    <row r="726" spans="1:31" hidden="1" x14ac:dyDescent="0.25">
      <c r="A726">
        <v>618</v>
      </c>
      <c r="C726" t="s">
        <v>1327</v>
      </c>
      <c r="D726" t="s">
        <v>47</v>
      </c>
      <c r="E726" t="s">
        <v>32</v>
      </c>
      <c r="F726">
        <v>3178.902</v>
      </c>
      <c r="G726">
        <v>3187.96</v>
      </c>
      <c r="H726" s="3" t="s">
        <v>1389</v>
      </c>
      <c r="I726" t="s">
        <v>1932</v>
      </c>
      <c r="J726" t="s">
        <v>2106</v>
      </c>
      <c r="U726" t="s">
        <v>1390</v>
      </c>
    </row>
    <row r="727" spans="1:31" hidden="1" x14ac:dyDescent="0.25">
      <c r="A727">
        <v>656</v>
      </c>
      <c r="B727" t="s">
        <v>2292</v>
      </c>
      <c r="C727" t="s">
        <v>1426</v>
      </c>
      <c r="D727" t="s">
        <v>47</v>
      </c>
      <c r="E727" t="s">
        <v>100</v>
      </c>
      <c r="F727">
        <v>2465.4090000000001</v>
      </c>
      <c r="G727">
        <v>2480.8809999999999</v>
      </c>
      <c r="H727" s="3" t="s">
        <v>1471</v>
      </c>
      <c r="I727" t="s">
        <v>1934</v>
      </c>
      <c r="L727" t="s">
        <v>1932</v>
      </c>
      <c r="M727" t="s">
        <v>1932</v>
      </c>
      <c r="N727" t="s">
        <v>1932</v>
      </c>
      <c r="O727" t="s">
        <v>1936</v>
      </c>
      <c r="P727" t="s">
        <v>2095</v>
      </c>
      <c r="Q727">
        <v>4</v>
      </c>
      <c r="T727" t="s">
        <v>2179</v>
      </c>
      <c r="U727" t="s">
        <v>1472</v>
      </c>
      <c r="W727" t="s">
        <v>2359</v>
      </c>
      <c r="X727">
        <v>1</v>
      </c>
      <c r="Y727" t="s">
        <v>2298</v>
      </c>
      <c r="Z727" s="5"/>
      <c r="AA727">
        <v>2</v>
      </c>
      <c r="AB727" s="5" t="s">
        <v>2306</v>
      </c>
      <c r="AC727" t="s">
        <v>2306</v>
      </c>
      <c r="AD727">
        <v>2</v>
      </c>
      <c r="AE727" t="s">
        <v>2313</v>
      </c>
    </row>
    <row r="728" spans="1:31" hidden="1" x14ac:dyDescent="0.25">
      <c r="A728">
        <v>597</v>
      </c>
      <c r="C728" t="s">
        <v>1327</v>
      </c>
      <c r="D728" t="s">
        <v>19</v>
      </c>
      <c r="E728" t="s">
        <v>38</v>
      </c>
      <c r="F728">
        <v>3340.1089999999999</v>
      </c>
      <c r="G728">
        <v>3350.7190000000001</v>
      </c>
      <c r="H728" s="3" t="s">
        <v>1341</v>
      </c>
      <c r="I728" t="s">
        <v>1932</v>
      </c>
      <c r="J728" t="s">
        <v>2125</v>
      </c>
      <c r="U728" t="s">
        <v>1342</v>
      </c>
    </row>
    <row r="729" spans="1:31" hidden="1" x14ac:dyDescent="0.25">
      <c r="A729">
        <v>642</v>
      </c>
      <c r="C729" t="s">
        <v>1426</v>
      </c>
      <c r="D729" t="s">
        <v>47</v>
      </c>
      <c r="E729" t="s">
        <v>20</v>
      </c>
      <c r="F729">
        <v>308.97199999999998</v>
      </c>
      <c r="G729">
        <v>317.61700000000002</v>
      </c>
      <c r="H729" s="3" t="s">
        <v>1443</v>
      </c>
      <c r="I729" t="s">
        <v>1932</v>
      </c>
      <c r="J729" t="s">
        <v>2101</v>
      </c>
      <c r="L729" t="s">
        <v>1932</v>
      </c>
      <c r="M729" t="s">
        <v>1934</v>
      </c>
      <c r="N729" t="s">
        <v>1932</v>
      </c>
      <c r="O729" t="s">
        <v>1942</v>
      </c>
      <c r="P729" t="s">
        <v>1932</v>
      </c>
      <c r="R729" t="s">
        <v>1970</v>
      </c>
      <c r="T729" t="s">
        <v>2049</v>
      </c>
      <c r="U729" t="s">
        <v>1444</v>
      </c>
    </row>
    <row r="730" spans="1:31" hidden="1" x14ac:dyDescent="0.25">
      <c r="A730">
        <v>636</v>
      </c>
      <c r="C730" t="s">
        <v>1426</v>
      </c>
      <c r="D730" t="s">
        <v>19</v>
      </c>
      <c r="E730" t="s">
        <v>26</v>
      </c>
      <c r="F730">
        <v>782.03200000000004</v>
      </c>
      <c r="G730">
        <v>791.88400000000001</v>
      </c>
      <c r="H730" s="3" t="s">
        <v>1431</v>
      </c>
      <c r="I730" t="s">
        <v>1932</v>
      </c>
      <c r="J730" t="s">
        <v>2101</v>
      </c>
      <c r="U730" t="s">
        <v>1432</v>
      </c>
    </row>
    <row r="731" spans="1:31" hidden="1" x14ac:dyDescent="0.25">
      <c r="A731">
        <v>643</v>
      </c>
      <c r="C731" t="s">
        <v>1426</v>
      </c>
      <c r="D731" t="s">
        <v>47</v>
      </c>
      <c r="E731" t="s">
        <v>23</v>
      </c>
      <c r="F731">
        <v>368.15699999999998</v>
      </c>
      <c r="G731">
        <v>380.71300000000002</v>
      </c>
      <c r="H731" s="3" t="s">
        <v>1445</v>
      </c>
      <c r="I731" t="s">
        <v>1932</v>
      </c>
      <c r="J731" t="s">
        <v>1941</v>
      </c>
      <c r="U731" t="s">
        <v>1446</v>
      </c>
    </row>
    <row r="732" spans="1:31" hidden="1" x14ac:dyDescent="0.25">
      <c r="A732">
        <v>749</v>
      </c>
      <c r="B732" t="s">
        <v>2293</v>
      </c>
      <c r="C732" t="s">
        <v>1665</v>
      </c>
      <c r="D732" t="s">
        <v>19</v>
      </c>
      <c r="E732" t="s">
        <v>29</v>
      </c>
      <c r="F732">
        <v>987.32799999999997</v>
      </c>
      <c r="G732">
        <v>997.726</v>
      </c>
      <c r="H732" s="3" t="s">
        <v>1672</v>
      </c>
      <c r="I732" t="s">
        <v>1934</v>
      </c>
      <c r="J732" t="s">
        <v>1943</v>
      </c>
      <c r="L732" t="s">
        <v>1935</v>
      </c>
      <c r="M732" t="s">
        <v>1932</v>
      </c>
      <c r="N732" t="s">
        <v>1932</v>
      </c>
      <c r="O732" t="s">
        <v>1955</v>
      </c>
      <c r="P732" t="s">
        <v>2095</v>
      </c>
      <c r="Q732">
        <v>4</v>
      </c>
      <c r="T732" t="s">
        <v>2119</v>
      </c>
      <c r="U732" t="s">
        <v>1673</v>
      </c>
      <c r="W732" t="s">
        <v>2359</v>
      </c>
      <c r="X732">
        <v>1</v>
      </c>
      <c r="Y732" t="s">
        <v>2301</v>
      </c>
      <c r="Z732" s="5"/>
      <c r="AA732">
        <v>2</v>
      </c>
      <c r="AB732" s="5" t="s">
        <v>2306</v>
      </c>
      <c r="AC732" t="s">
        <v>2306</v>
      </c>
      <c r="AD732">
        <v>1</v>
      </c>
    </row>
    <row r="733" spans="1:31" hidden="1" x14ac:dyDescent="0.25">
      <c r="A733">
        <v>634</v>
      </c>
      <c r="C733" t="s">
        <v>1426</v>
      </c>
      <c r="D733" t="s">
        <v>19</v>
      </c>
      <c r="E733" t="s">
        <v>20</v>
      </c>
      <c r="F733">
        <v>535.48699999999997</v>
      </c>
      <c r="G733">
        <v>548.26</v>
      </c>
      <c r="H733" s="3" t="s">
        <v>1427</v>
      </c>
      <c r="I733" t="s">
        <v>1932</v>
      </c>
      <c r="J733" t="s">
        <v>1952</v>
      </c>
      <c r="U733" t="s">
        <v>1428</v>
      </c>
    </row>
    <row r="734" spans="1:31" hidden="1" x14ac:dyDescent="0.25">
      <c r="A734">
        <v>635</v>
      </c>
      <c r="C734" t="s">
        <v>1426</v>
      </c>
      <c r="D734" t="s">
        <v>19</v>
      </c>
      <c r="E734" t="s">
        <v>23</v>
      </c>
      <c r="F734">
        <v>592.72900000000004</v>
      </c>
      <c r="G734">
        <v>601.43499999999995</v>
      </c>
      <c r="H734" s="3" t="s">
        <v>1429</v>
      </c>
      <c r="I734" t="s">
        <v>1932</v>
      </c>
      <c r="J734" t="s">
        <v>1933</v>
      </c>
      <c r="U734" t="s">
        <v>1430</v>
      </c>
    </row>
    <row r="735" spans="1:31" hidden="1" x14ac:dyDescent="0.25">
      <c r="A735">
        <v>644</v>
      </c>
      <c r="C735" t="s">
        <v>1426</v>
      </c>
      <c r="D735" t="s">
        <v>47</v>
      </c>
      <c r="E735" t="s">
        <v>26</v>
      </c>
      <c r="F735">
        <v>622.202</v>
      </c>
      <c r="G735">
        <v>633.34799999999996</v>
      </c>
      <c r="H735" s="3" t="s">
        <v>1447</v>
      </c>
      <c r="I735" t="s">
        <v>1932</v>
      </c>
      <c r="J735" t="s">
        <v>1952</v>
      </c>
      <c r="U735" t="s">
        <v>1448</v>
      </c>
    </row>
    <row r="736" spans="1:31" hidden="1" x14ac:dyDescent="0.25">
      <c r="A736">
        <v>646</v>
      </c>
      <c r="C736" t="s">
        <v>1426</v>
      </c>
      <c r="D736" t="s">
        <v>47</v>
      </c>
      <c r="E736" t="s">
        <v>32</v>
      </c>
      <c r="F736">
        <v>980.36099999999999</v>
      </c>
      <c r="G736">
        <v>990.09699999999998</v>
      </c>
      <c r="H736" s="3" t="s">
        <v>1451</v>
      </c>
      <c r="I736" t="s">
        <v>1932</v>
      </c>
      <c r="J736" t="s">
        <v>2101</v>
      </c>
      <c r="U736" t="s">
        <v>1452</v>
      </c>
    </row>
    <row r="737" spans="1:22" hidden="1" x14ac:dyDescent="0.25">
      <c r="A737">
        <v>637</v>
      </c>
      <c r="C737" t="s">
        <v>1426</v>
      </c>
      <c r="D737" t="s">
        <v>19</v>
      </c>
      <c r="E737" t="s">
        <v>29</v>
      </c>
      <c r="F737">
        <v>985.18</v>
      </c>
      <c r="G737">
        <v>993.678</v>
      </c>
      <c r="H737" s="3" t="s">
        <v>1433</v>
      </c>
      <c r="I737" t="s">
        <v>1932</v>
      </c>
      <c r="J737" t="s">
        <v>2101</v>
      </c>
      <c r="U737" t="s">
        <v>1434</v>
      </c>
    </row>
    <row r="738" spans="1:22" hidden="1" x14ac:dyDescent="0.25">
      <c r="A738">
        <v>638</v>
      </c>
      <c r="C738" t="s">
        <v>1426</v>
      </c>
      <c r="D738" t="s">
        <v>19</v>
      </c>
      <c r="E738" t="s">
        <v>32</v>
      </c>
      <c r="F738">
        <v>1076.049</v>
      </c>
      <c r="G738">
        <v>1084.385</v>
      </c>
      <c r="H738" s="3" t="s">
        <v>1435</v>
      </c>
      <c r="I738" t="s">
        <v>1932</v>
      </c>
      <c r="J738" t="s">
        <v>1940</v>
      </c>
      <c r="U738" t="s">
        <v>1436</v>
      </c>
    </row>
    <row r="739" spans="1:22" hidden="1" x14ac:dyDescent="0.25">
      <c r="A739">
        <v>647</v>
      </c>
      <c r="C739" t="s">
        <v>1426</v>
      </c>
      <c r="D739" t="s">
        <v>47</v>
      </c>
      <c r="E739" t="s">
        <v>35</v>
      </c>
      <c r="F739">
        <v>1310.202</v>
      </c>
      <c r="G739">
        <v>1318.8969999999999</v>
      </c>
      <c r="H739" s="3" t="s">
        <v>1453</v>
      </c>
      <c r="I739" t="s">
        <v>1932</v>
      </c>
      <c r="J739" t="s">
        <v>1933</v>
      </c>
      <c r="U739" t="s">
        <v>1454</v>
      </c>
    </row>
    <row r="740" spans="1:22" hidden="1" x14ac:dyDescent="0.25">
      <c r="A740">
        <v>821</v>
      </c>
      <c r="C740" t="s">
        <v>1808</v>
      </c>
      <c r="D740" t="s">
        <v>118</v>
      </c>
      <c r="E740" t="s">
        <v>20</v>
      </c>
      <c r="F740">
        <v>107.86</v>
      </c>
      <c r="G740">
        <v>117.19799999999999</v>
      </c>
      <c r="H740" s="3" t="s">
        <v>1821</v>
      </c>
      <c r="I740" t="s">
        <v>1934</v>
      </c>
      <c r="J740" t="s">
        <v>1950</v>
      </c>
      <c r="L740" t="s">
        <v>1932</v>
      </c>
      <c r="M740" t="s">
        <v>1934</v>
      </c>
      <c r="N740">
        <v>2</v>
      </c>
      <c r="O740" t="s">
        <v>1936</v>
      </c>
      <c r="P740" t="s">
        <v>1932</v>
      </c>
      <c r="Q740">
        <v>2</v>
      </c>
      <c r="T740" t="s">
        <v>1980</v>
      </c>
      <c r="U740" t="s">
        <v>1822</v>
      </c>
      <c r="V740" t="s">
        <v>1823</v>
      </c>
    </row>
    <row r="741" spans="1:22" hidden="1" x14ac:dyDescent="0.25">
      <c r="A741">
        <v>648</v>
      </c>
      <c r="C741" t="s">
        <v>1426</v>
      </c>
      <c r="D741" t="s">
        <v>47</v>
      </c>
      <c r="E741" t="s">
        <v>38</v>
      </c>
      <c r="F741">
        <v>1354.22</v>
      </c>
      <c r="G741">
        <v>1362.9559999999999</v>
      </c>
      <c r="H741" s="3" t="s">
        <v>1455</v>
      </c>
      <c r="I741" t="s">
        <v>1932</v>
      </c>
      <c r="J741" t="s">
        <v>1961</v>
      </c>
      <c r="U741" t="s">
        <v>1456</v>
      </c>
    </row>
    <row r="742" spans="1:22" hidden="1" x14ac:dyDescent="0.25">
      <c r="A742">
        <v>639</v>
      </c>
      <c r="C742" t="s">
        <v>1426</v>
      </c>
      <c r="D742" t="s">
        <v>19</v>
      </c>
      <c r="E742" t="s">
        <v>35</v>
      </c>
      <c r="F742">
        <v>1383.106</v>
      </c>
      <c r="G742">
        <v>1393.616</v>
      </c>
      <c r="H742" s="3" t="s">
        <v>1437</v>
      </c>
      <c r="I742" t="s">
        <v>1932</v>
      </c>
      <c r="J742" t="s">
        <v>1940</v>
      </c>
      <c r="U742" t="s">
        <v>1438</v>
      </c>
    </row>
    <row r="743" spans="1:22" hidden="1" x14ac:dyDescent="0.25">
      <c r="A743">
        <v>650</v>
      </c>
      <c r="C743" t="s">
        <v>1426</v>
      </c>
      <c r="D743" t="s">
        <v>47</v>
      </c>
      <c r="E743" t="s">
        <v>44</v>
      </c>
      <c r="F743">
        <v>1598.941</v>
      </c>
      <c r="G743">
        <v>1607.413</v>
      </c>
      <c r="H743" s="3" t="s">
        <v>1459</v>
      </c>
      <c r="I743" t="s">
        <v>1932</v>
      </c>
      <c r="J743" t="s">
        <v>1957</v>
      </c>
      <c r="U743" t="s">
        <v>1460</v>
      </c>
    </row>
    <row r="744" spans="1:22" hidden="1" x14ac:dyDescent="0.25">
      <c r="A744">
        <v>651</v>
      </c>
      <c r="C744" t="s">
        <v>1426</v>
      </c>
      <c r="D744" t="s">
        <v>47</v>
      </c>
      <c r="E744" t="s">
        <v>85</v>
      </c>
      <c r="F744">
        <v>1611.924</v>
      </c>
      <c r="G744">
        <v>1620.55</v>
      </c>
      <c r="H744" s="3" t="s">
        <v>1461</v>
      </c>
      <c r="I744" t="s">
        <v>1932</v>
      </c>
      <c r="J744" t="s">
        <v>2106</v>
      </c>
      <c r="U744" t="s">
        <v>1462</v>
      </c>
    </row>
    <row r="745" spans="1:22" hidden="1" x14ac:dyDescent="0.25">
      <c r="A745">
        <v>652</v>
      </c>
      <c r="C745" t="s">
        <v>1426</v>
      </c>
      <c r="D745" t="s">
        <v>47</v>
      </c>
      <c r="E745" t="s">
        <v>88</v>
      </c>
      <c r="F745">
        <v>1698.2049999999999</v>
      </c>
      <c r="G745">
        <v>1706.874</v>
      </c>
      <c r="H745" s="3" t="s">
        <v>1463</v>
      </c>
      <c r="I745" t="s">
        <v>1932</v>
      </c>
      <c r="J745" t="s">
        <v>1948</v>
      </c>
      <c r="U745" t="s">
        <v>1464</v>
      </c>
    </row>
    <row r="746" spans="1:22" hidden="1" x14ac:dyDescent="0.25">
      <c r="A746">
        <v>654</v>
      </c>
      <c r="C746" t="s">
        <v>1426</v>
      </c>
      <c r="D746" t="s">
        <v>47</v>
      </c>
      <c r="E746" t="s">
        <v>94</v>
      </c>
      <c r="F746">
        <v>2085.971</v>
      </c>
      <c r="G746">
        <v>2097.7620000000002</v>
      </c>
      <c r="H746" s="3" t="s">
        <v>1467</v>
      </c>
      <c r="I746" t="s">
        <v>1932</v>
      </c>
      <c r="J746" t="s">
        <v>2106</v>
      </c>
      <c r="U746" t="s">
        <v>1468</v>
      </c>
    </row>
    <row r="747" spans="1:22" hidden="1" x14ac:dyDescent="0.25">
      <c r="A747">
        <v>640</v>
      </c>
      <c r="C747" t="s">
        <v>1426</v>
      </c>
      <c r="D747" t="s">
        <v>19</v>
      </c>
      <c r="E747" t="s">
        <v>38</v>
      </c>
      <c r="F747">
        <v>2322.8919999999998</v>
      </c>
      <c r="G747">
        <v>2335.4470000000001</v>
      </c>
      <c r="H747" s="3" t="s">
        <v>1439</v>
      </c>
      <c r="I747" t="s">
        <v>1932</v>
      </c>
      <c r="J747" t="s">
        <v>2101</v>
      </c>
      <c r="U747" t="s">
        <v>1440</v>
      </c>
    </row>
    <row r="748" spans="1:22" hidden="1" x14ac:dyDescent="0.25">
      <c r="A748">
        <v>822</v>
      </c>
      <c r="C748" t="s">
        <v>1808</v>
      </c>
      <c r="D748" t="s">
        <v>118</v>
      </c>
      <c r="E748" t="s">
        <v>23</v>
      </c>
      <c r="F748">
        <v>123.392</v>
      </c>
      <c r="G748">
        <v>132.28899999999999</v>
      </c>
      <c r="H748" s="3" t="s">
        <v>1824</v>
      </c>
      <c r="I748" t="s">
        <v>1934</v>
      </c>
      <c r="L748" t="s">
        <v>1932</v>
      </c>
      <c r="M748" t="s">
        <v>1932</v>
      </c>
      <c r="N748" t="s">
        <v>1932</v>
      </c>
      <c r="O748" t="s">
        <v>1936</v>
      </c>
      <c r="P748" t="s">
        <v>1932</v>
      </c>
      <c r="Q748">
        <v>2</v>
      </c>
      <c r="T748" t="s">
        <v>1982</v>
      </c>
      <c r="U748" t="s">
        <v>1825</v>
      </c>
      <c r="V748" t="s">
        <v>1826</v>
      </c>
    </row>
    <row r="749" spans="1:22" hidden="1" x14ac:dyDescent="0.25">
      <c r="A749">
        <v>655</v>
      </c>
      <c r="C749" t="s">
        <v>1426</v>
      </c>
      <c r="D749" t="s">
        <v>47</v>
      </c>
      <c r="E749" t="s">
        <v>97</v>
      </c>
      <c r="F749">
        <v>2464.489</v>
      </c>
      <c r="G749">
        <v>2473.1619999999998</v>
      </c>
      <c r="H749" s="3" t="s">
        <v>1469</v>
      </c>
      <c r="I749" t="s">
        <v>1932</v>
      </c>
      <c r="J749" t="s">
        <v>1948</v>
      </c>
      <c r="U749" t="s">
        <v>1470</v>
      </c>
    </row>
    <row r="750" spans="1:22" hidden="1" x14ac:dyDescent="0.25">
      <c r="A750">
        <v>657</v>
      </c>
      <c r="C750" t="s">
        <v>1426</v>
      </c>
      <c r="D750" t="s">
        <v>47</v>
      </c>
      <c r="E750" t="s">
        <v>103</v>
      </c>
      <c r="F750">
        <v>2533.6529999999998</v>
      </c>
      <c r="G750">
        <v>2542.0279999999998</v>
      </c>
      <c r="H750" s="3" t="s">
        <v>1473</v>
      </c>
      <c r="I750" t="s">
        <v>1932</v>
      </c>
      <c r="J750" t="s">
        <v>1947</v>
      </c>
      <c r="T750" t="s">
        <v>2180</v>
      </c>
      <c r="U750" t="s">
        <v>1474</v>
      </c>
    </row>
    <row r="751" spans="1:22" hidden="1" x14ac:dyDescent="0.25">
      <c r="A751">
        <v>823</v>
      </c>
      <c r="C751" t="s">
        <v>1808</v>
      </c>
      <c r="D751" t="s">
        <v>118</v>
      </c>
      <c r="E751" t="s">
        <v>26</v>
      </c>
      <c r="F751">
        <v>233.13499999999999</v>
      </c>
      <c r="G751">
        <v>242.55199999999999</v>
      </c>
      <c r="H751" s="3" t="s">
        <v>1827</v>
      </c>
      <c r="I751" t="s">
        <v>1934</v>
      </c>
      <c r="K751">
        <v>817</v>
      </c>
      <c r="L751" t="s">
        <v>1932</v>
      </c>
      <c r="M751" t="s">
        <v>1934</v>
      </c>
      <c r="N751" t="s">
        <v>1932</v>
      </c>
      <c r="O751" t="s">
        <v>1936</v>
      </c>
      <c r="P751" t="s">
        <v>1937</v>
      </c>
      <c r="Q751">
        <v>1</v>
      </c>
      <c r="T751" t="s">
        <v>1997</v>
      </c>
      <c r="U751" t="s">
        <v>1828</v>
      </c>
      <c r="V751" t="s">
        <v>1829</v>
      </c>
    </row>
    <row r="752" spans="1:22" hidden="1" x14ac:dyDescent="0.25">
      <c r="A752">
        <v>668</v>
      </c>
      <c r="C752" t="s">
        <v>1477</v>
      </c>
      <c r="D752" t="s">
        <v>47</v>
      </c>
      <c r="E752" t="s">
        <v>23</v>
      </c>
      <c r="F752">
        <v>465.464</v>
      </c>
      <c r="G752">
        <v>477.40499999999997</v>
      </c>
      <c r="H752" s="3" t="s">
        <v>1496</v>
      </c>
      <c r="I752" t="s">
        <v>1932</v>
      </c>
      <c r="J752" t="s">
        <v>1950</v>
      </c>
      <c r="U752" t="s">
        <v>1497</v>
      </c>
    </row>
    <row r="753" spans="1:21" hidden="1" x14ac:dyDescent="0.25">
      <c r="A753">
        <v>659</v>
      </c>
      <c r="C753" t="s">
        <v>1477</v>
      </c>
      <c r="D753" t="s">
        <v>19</v>
      </c>
      <c r="E753" t="s">
        <v>20</v>
      </c>
      <c r="F753">
        <v>723.85400000000004</v>
      </c>
      <c r="G753">
        <v>733.93299999999999</v>
      </c>
      <c r="H753" s="3" t="s">
        <v>1478</v>
      </c>
      <c r="I753" t="s">
        <v>1932</v>
      </c>
      <c r="J753" t="s">
        <v>1940</v>
      </c>
      <c r="U753" t="s">
        <v>1479</v>
      </c>
    </row>
    <row r="754" spans="1:21" hidden="1" x14ac:dyDescent="0.25">
      <c r="A754">
        <v>669</v>
      </c>
      <c r="C754" t="s">
        <v>1477</v>
      </c>
      <c r="D754" t="s">
        <v>47</v>
      </c>
      <c r="E754" t="s">
        <v>26</v>
      </c>
      <c r="F754">
        <v>1252.9449999999999</v>
      </c>
      <c r="G754">
        <v>1262.1220000000001</v>
      </c>
      <c r="H754" s="3" t="s">
        <v>1498</v>
      </c>
      <c r="I754" t="s">
        <v>1932</v>
      </c>
      <c r="J754" t="s">
        <v>1952</v>
      </c>
      <c r="U754" t="s">
        <v>1499</v>
      </c>
    </row>
    <row r="755" spans="1:21" hidden="1" x14ac:dyDescent="0.25">
      <c r="A755">
        <v>663</v>
      </c>
      <c r="C755" t="s">
        <v>1477</v>
      </c>
      <c r="D755" t="s">
        <v>118</v>
      </c>
      <c r="E755" t="s">
        <v>23</v>
      </c>
      <c r="F755">
        <v>1395.825</v>
      </c>
      <c r="G755">
        <v>1405.672</v>
      </c>
      <c r="H755" s="3" t="s">
        <v>1486</v>
      </c>
      <c r="I755" t="s">
        <v>1932</v>
      </c>
      <c r="J755" t="s">
        <v>1961</v>
      </c>
      <c r="U755" t="s">
        <v>1487</v>
      </c>
    </row>
    <row r="756" spans="1:21" hidden="1" x14ac:dyDescent="0.25">
      <c r="A756">
        <v>664</v>
      </c>
      <c r="C756" t="s">
        <v>1477</v>
      </c>
      <c r="D756" t="s">
        <v>118</v>
      </c>
      <c r="E756" t="s">
        <v>26</v>
      </c>
      <c r="F756">
        <v>1534.604</v>
      </c>
      <c r="G756">
        <v>1545.9059999999999</v>
      </c>
      <c r="H756" s="3" t="s">
        <v>1488</v>
      </c>
      <c r="I756" t="s">
        <v>1932</v>
      </c>
      <c r="J756" t="s">
        <v>2135</v>
      </c>
      <c r="U756" t="s">
        <v>1489</v>
      </c>
    </row>
    <row r="757" spans="1:21" hidden="1" x14ac:dyDescent="0.25">
      <c r="A757">
        <v>665</v>
      </c>
      <c r="C757" t="s">
        <v>1477</v>
      </c>
      <c r="D757" t="s">
        <v>118</v>
      </c>
      <c r="E757" t="s">
        <v>29</v>
      </c>
      <c r="F757">
        <v>2532.3820000000001</v>
      </c>
      <c r="G757">
        <v>2542.5509999999999</v>
      </c>
      <c r="H757" s="3" t="s">
        <v>1490</v>
      </c>
      <c r="I757" t="s">
        <v>1932</v>
      </c>
      <c r="J757" t="s">
        <v>2101</v>
      </c>
      <c r="U757" t="s">
        <v>1491</v>
      </c>
    </row>
    <row r="758" spans="1:21" hidden="1" x14ac:dyDescent="0.25">
      <c r="A758">
        <v>660</v>
      </c>
      <c r="C758" t="s">
        <v>1477</v>
      </c>
      <c r="D758" t="s">
        <v>19</v>
      </c>
      <c r="E758" t="s">
        <v>23</v>
      </c>
      <c r="F758">
        <v>3089.2550000000001</v>
      </c>
      <c r="G758">
        <v>3100.114</v>
      </c>
      <c r="H758" s="3" t="s">
        <v>1480</v>
      </c>
      <c r="I758" t="s">
        <v>1932</v>
      </c>
      <c r="J758" t="s">
        <v>1952</v>
      </c>
      <c r="U758" t="s">
        <v>1481</v>
      </c>
    </row>
    <row r="759" spans="1:21" hidden="1" x14ac:dyDescent="0.25">
      <c r="A759">
        <v>673</v>
      </c>
      <c r="C759" t="s">
        <v>1477</v>
      </c>
      <c r="D759" t="s">
        <v>47</v>
      </c>
      <c r="E759" t="s">
        <v>38</v>
      </c>
      <c r="F759">
        <v>3593.3780000000002</v>
      </c>
      <c r="G759">
        <v>3603.585</v>
      </c>
      <c r="H759" s="3" t="s">
        <v>1506</v>
      </c>
      <c r="I759" t="s">
        <v>1932</v>
      </c>
      <c r="J759" t="s">
        <v>2106</v>
      </c>
      <c r="U759" t="s">
        <v>1507</v>
      </c>
    </row>
    <row r="760" spans="1:21" hidden="1" x14ac:dyDescent="0.25">
      <c r="A760">
        <v>661</v>
      </c>
      <c r="C760" t="s">
        <v>1477</v>
      </c>
      <c r="D760" t="s">
        <v>19</v>
      </c>
      <c r="E760" t="s">
        <v>26</v>
      </c>
      <c r="F760">
        <v>3796.8090000000002</v>
      </c>
      <c r="G760">
        <v>3807.6590000000001</v>
      </c>
      <c r="H760" s="3" t="s">
        <v>1482</v>
      </c>
      <c r="I760" t="s">
        <v>1932</v>
      </c>
      <c r="J760" t="s">
        <v>2101</v>
      </c>
      <c r="U760" t="s">
        <v>1483</v>
      </c>
    </row>
    <row r="761" spans="1:21" hidden="1" x14ac:dyDescent="0.25">
      <c r="A761">
        <v>691</v>
      </c>
      <c r="C761" t="s">
        <v>1544</v>
      </c>
      <c r="D761" t="s">
        <v>19</v>
      </c>
      <c r="E761" t="s">
        <v>23</v>
      </c>
      <c r="F761">
        <v>659.851</v>
      </c>
      <c r="G761">
        <v>669.85699999999997</v>
      </c>
      <c r="H761" s="3" t="s">
        <v>1547</v>
      </c>
      <c r="I761" t="s">
        <v>1932</v>
      </c>
      <c r="T761" t="s">
        <v>2077</v>
      </c>
      <c r="U761" t="s">
        <v>1548</v>
      </c>
    </row>
    <row r="762" spans="1:21" hidden="1" x14ac:dyDescent="0.25">
      <c r="A762">
        <v>824</v>
      </c>
      <c r="C762" t="s">
        <v>1808</v>
      </c>
      <c r="D762" t="s">
        <v>118</v>
      </c>
      <c r="E762" t="s">
        <v>29</v>
      </c>
      <c r="F762">
        <v>417.363</v>
      </c>
      <c r="G762">
        <v>426.35</v>
      </c>
      <c r="H762" s="3" t="s">
        <v>1830</v>
      </c>
      <c r="I762" t="s">
        <v>1934</v>
      </c>
      <c r="L762" t="s">
        <v>1932</v>
      </c>
      <c r="M762" t="s">
        <v>1932</v>
      </c>
      <c r="N762" t="s">
        <v>1932</v>
      </c>
      <c r="O762" t="s">
        <v>1936</v>
      </c>
      <c r="P762" t="s">
        <v>1934</v>
      </c>
      <c r="Q762">
        <v>1</v>
      </c>
      <c r="S762" t="s">
        <v>2225</v>
      </c>
      <c r="U762" t="s">
        <v>1831</v>
      </c>
    </row>
    <row r="763" spans="1:21" hidden="1" x14ac:dyDescent="0.25">
      <c r="A763">
        <v>692</v>
      </c>
      <c r="C763" t="s">
        <v>1544</v>
      </c>
      <c r="D763" t="s">
        <v>19</v>
      </c>
      <c r="E763" t="s">
        <v>26</v>
      </c>
      <c r="F763">
        <v>1428.462</v>
      </c>
      <c r="G763">
        <v>1438.0530000000001</v>
      </c>
      <c r="H763" s="3" t="s">
        <v>1549</v>
      </c>
      <c r="I763" t="s">
        <v>1932</v>
      </c>
      <c r="J763" t="s">
        <v>1952</v>
      </c>
      <c r="U763" t="s">
        <v>1550</v>
      </c>
    </row>
    <row r="764" spans="1:21" hidden="1" x14ac:dyDescent="0.25">
      <c r="A764">
        <v>693</v>
      </c>
      <c r="C764" t="s">
        <v>1544</v>
      </c>
      <c r="D764" t="s">
        <v>19</v>
      </c>
      <c r="E764" t="s">
        <v>29</v>
      </c>
      <c r="F764">
        <v>1703.7380000000001</v>
      </c>
      <c r="G764">
        <v>1716.146</v>
      </c>
      <c r="H764" s="3" t="s">
        <v>1551</v>
      </c>
      <c r="I764" t="s">
        <v>1932</v>
      </c>
      <c r="J764" t="s">
        <v>1961</v>
      </c>
      <c r="U764" t="s">
        <v>1552</v>
      </c>
    </row>
    <row r="765" spans="1:21" hidden="1" x14ac:dyDescent="0.25">
      <c r="A765">
        <v>694</v>
      </c>
      <c r="C765" t="s">
        <v>1544</v>
      </c>
      <c r="D765" t="s">
        <v>19</v>
      </c>
      <c r="E765" t="s">
        <v>32</v>
      </c>
      <c r="F765">
        <v>2065.38</v>
      </c>
      <c r="G765">
        <v>2077.3980000000001</v>
      </c>
      <c r="H765" s="3" t="s">
        <v>1553</v>
      </c>
      <c r="I765" t="s">
        <v>1932</v>
      </c>
      <c r="J765" t="s">
        <v>2125</v>
      </c>
      <c r="U765" t="s">
        <v>1554</v>
      </c>
    </row>
    <row r="766" spans="1:21" hidden="1" x14ac:dyDescent="0.25">
      <c r="A766">
        <v>744</v>
      </c>
      <c r="C766" t="s">
        <v>1659</v>
      </c>
      <c r="D766" t="s">
        <v>19</v>
      </c>
      <c r="E766" t="s">
        <v>20</v>
      </c>
      <c r="F766">
        <v>823.42700000000002</v>
      </c>
      <c r="G766">
        <v>833.49099999999999</v>
      </c>
      <c r="H766" s="3" t="s">
        <v>1660</v>
      </c>
      <c r="I766" t="s">
        <v>1932</v>
      </c>
      <c r="J766" t="s">
        <v>2101</v>
      </c>
      <c r="U766" t="s">
        <v>1661</v>
      </c>
    </row>
    <row r="767" spans="1:21" hidden="1" x14ac:dyDescent="0.25">
      <c r="A767">
        <v>745</v>
      </c>
      <c r="C767" t="s">
        <v>1662</v>
      </c>
      <c r="D767" t="s">
        <v>19</v>
      </c>
      <c r="E767" t="s">
        <v>20</v>
      </c>
      <c r="F767">
        <v>291.73700000000002</v>
      </c>
      <c r="G767">
        <v>300.52199999999999</v>
      </c>
      <c r="H767" t="s">
        <v>1663</v>
      </c>
      <c r="I767" t="s">
        <v>1932</v>
      </c>
      <c r="J767" t="s">
        <v>1949</v>
      </c>
      <c r="U767" t="s">
        <v>1664</v>
      </c>
    </row>
    <row r="768" spans="1:21" hidden="1" x14ac:dyDescent="0.25">
      <c r="A768">
        <v>746</v>
      </c>
      <c r="C768" t="s">
        <v>1665</v>
      </c>
      <c r="D768" t="s">
        <v>19</v>
      </c>
      <c r="E768" t="s">
        <v>20</v>
      </c>
      <c r="F768">
        <v>295.53899999999999</v>
      </c>
      <c r="G768">
        <v>306.79199999999997</v>
      </c>
      <c r="H768" s="3" t="s">
        <v>1666</v>
      </c>
      <c r="I768" t="s">
        <v>1932</v>
      </c>
      <c r="J768" t="s">
        <v>1957</v>
      </c>
      <c r="U768" t="s">
        <v>1667</v>
      </c>
    </row>
    <row r="769" spans="1:21" hidden="1" x14ac:dyDescent="0.25">
      <c r="A769">
        <v>825</v>
      </c>
      <c r="C769" t="s">
        <v>1808</v>
      </c>
      <c r="D769" t="s">
        <v>118</v>
      </c>
      <c r="E769" t="s">
        <v>32</v>
      </c>
      <c r="F769">
        <v>522.89800000000002</v>
      </c>
      <c r="G769">
        <v>531.99400000000003</v>
      </c>
      <c r="H769" s="3" t="s">
        <v>1832</v>
      </c>
      <c r="I769" t="s">
        <v>1934</v>
      </c>
      <c r="L769" t="s">
        <v>1932</v>
      </c>
      <c r="M769" t="s">
        <v>1932</v>
      </c>
      <c r="N769" t="s">
        <v>1932</v>
      </c>
      <c r="O769" t="s">
        <v>1936</v>
      </c>
      <c r="P769" t="s">
        <v>1937</v>
      </c>
      <c r="R769" t="s">
        <v>1970</v>
      </c>
      <c r="T769" t="s">
        <v>2064</v>
      </c>
      <c r="U769" t="s">
        <v>1833</v>
      </c>
    </row>
    <row r="770" spans="1:21" hidden="1" x14ac:dyDescent="0.25">
      <c r="A770">
        <v>752</v>
      </c>
      <c r="C770" t="s">
        <v>1665</v>
      </c>
      <c r="D770" t="s">
        <v>118</v>
      </c>
      <c r="E770" t="s">
        <v>20</v>
      </c>
      <c r="F770">
        <v>245.28800000000001</v>
      </c>
      <c r="G770">
        <v>256.899</v>
      </c>
      <c r="H770" t="s">
        <v>1678</v>
      </c>
      <c r="I770" t="s">
        <v>1932</v>
      </c>
      <c r="J770" t="s">
        <v>1939</v>
      </c>
      <c r="U770" t="s">
        <v>1679</v>
      </c>
    </row>
    <row r="771" spans="1:21" hidden="1" x14ac:dyDescent="0.25">
      <c r="A771">
        <v>747</v>
      </c>
      <c r="C771" t="s">
        <v>1665</v>
      </c>
      <c r="D771" t="s">
        <v>19</v>
      </c>
      <c r="E771" t="s">
        <v>23</v>
      </c>
      <c r="F771">
        <v>344.01499999999999</v>
      </c>
      <c r="G771">
        <v>353.3</v>
      </c>
      <c r="H771" s="3" t="s">
        <v>1668</v>
      </c>
      <c r="I771" t="s">
        <v>1932</v>
      </c>
      <c r="J771" t="s">
        <v>1957</v>
      </c>
      <c r="U771" t="s">
        <v>1669</v>
      </c>
    </row>
    <row r="772" spans="1:21" hidden="1" x14ac:dyDescent="0.25">
      <c r="A772">
        <v>753</v>
      </c>
      <c r="C772" t="s">
        <v>1665</v>
      </c>
      <c r="D772" t="s">
        <v>118</v>
      </c>
      <c r="E772" t="s">
        <v>23</v>
      </c>
      <c r="F772">
        <v>822.98299999999995</v>
      </c>
      <c r="G772">
        <v>834.44600000000003</v>
      </c>
      <c r="H772" s="3" t="s">
        <v>1680</v>
      </c>
      <c r="I772" t="s">
        <v>1932</v>
      </c>
      <c r="J772" t="s">
        <v>1948</v>
      </c>
      <c r="U772" t="s">
        <v>1681</v>
      </c>
    </row>
    <row r="773" spans="1:21" hidden="1" x14ac:dyDescent="0.25">
      <c r="A773">
        <v>748</v>
      </c>
      <c r="C773" t="s">
        <v>1665</v>
      </c>
      <c r="D773" t="s">
        <v>19</v>
      </c>
      <c r="E773" t="s">
        <v>26</v>
      </c>
      <c r="F773">
        <v>835.89400000000001</v>
      </c>
      <c r="G773">
        <v>844.38099999999997</v>
      </c>
      <c r="H773" s="3" t="s">
        <v>1670</v>
      </c>
      <c r="I773" t="s">
        <v>1932</v>
      </c>
      <c r="J773" t="s">
        <v>1939</v>
      </c>
      <c r="U773" t="s">
        <v>1671</v>
      </c>
    </row>
    <row r="774" spans="1:21" hidden="1" x14ac:dyDescent="0.25">
      <c r="A774">
        <v>754</v>
      </c>
      <c r="C774" t="s">
        <v>1665</v>
      </c>
      <c r="D774" t="s">
        <v>118</v>
      </c>
      <c r="E774" t="s">
        <v>26</v>
      </c>
      <c r="F774">
        <v>917.02300000000002</v>
      </c>
      <c r="G774">
        <v>928.07299999999998</v>
      </c>
      <c r="H774" s="3" t="s">
        <v>1682</v>
      </c>
      <c r="I774" t="s">
        <v>1932</v>
      </c>
      <c r="J774" t="s">
        <v>1957</v>
      </c>
      <c r="U774" t="s">
        <v>1683</v>
      </c>
    </row>
    <row r="775" spans="1:21" hidden="1" x14ac:dyDescent="0.25">
      <c r="A775">
        <v>755</v>
      </c>
      <c r="C775" t="s">
        <v>1665</v>
      </c>
      <c r="D775" t="s">
        <v>118</v>
      </c>
      <c r="E775" t="s">
        <v>29</v>
      </c>
      <c r="F775">
        <v>1932.4770000000001</v>
      </c>
      <c r="G775">
        <v>1940.9179999999999</v>
      </c>
      <c r="H775" s="3" t="s">
        <v>1684</v>
      </c>
      <c r="I775" t="s">
        <v>1932</v>
      </c>
      <c r="J775" t="s">
        <v>2101</v>
      </c>
      <c r="U775" t="s">
        <v>1685</v>
      </c>
    </row>
    <row r="776" spans="1:21" hidden="1" x14ac:dyDescent="0.25">
      <c r="A776">
        <v>750</v>
      </c>
      <c r="C776" t="s">
        <v>1665</v>
      </c>
      <c r="D776" t="s">
        <v>19</v>
      </c>
      <c r="E776" t="s">
        <v>32</v>
      </c>
      <c r="F776">
        <v>2418.6469999999999</v>
      </c>
      <c r="G776">
        <v>2428.7640000000001</v>
      </c>
      <c r="H776" s="3" t="s">
        <v>1674</v>
      </c>
      <c r="I776" t="s">
        <v>1932</v>
      </c>
      <c r="J776" t="s">
        <v>1954</v>
      </c>
      <c r="U776" t="s">
        <v>1675</v>
      </c>
    </row>
    <row r="777" spans="1:21" hidden="1" x14ac:dyDescent="0.25">
      <c r="A777">
        <v>757</v>
      </c>
      <c r="C777" t="s">
        <v>1688</v>
      </c>
      <c r="D777" t="s">
        <v>19</v>
      </c>
      <c r="E777" t="s">
        <v>20</v>
      </c>
      <c r="F777">
        <v>25.728999999999999</v>
      </c>
      <c r="G777">
        <v>38.734000000000002</v>
      </c>
      <c r="H777" s="3" t="s">
        <v>1689</v>
      </c>
      <c r="I777" t="s">
        <v>1932</v>
      </c>
      <c r="J777" t="s">
        <v>2101</v>
      </c>
      <c r="K777">
        <v>775</v>
      </c>
      <c r="U777" t="s">
        <v>1690</v>
      </c>
    </row>
    <row r="778" spans="1:21" hidden="1" x14ac:dyDescent="0.25">
      <c r="A778">
        <v>775</v>
      </c>
      <c r="C778" t="s">
        <v>1688</v>
      </c>
      <c r="D778" t="s">
        <v>118</v>
      </c>
      <c r="E778" t="s">
        <v>20</v>
      </c>
      <c r="F778">
        <v>25.728999999999999</v>
      </c>
      <c r="G778">
        <v>38.734000000000002</v>
      </c>
      <c r="H778" s="3" t="s">
        <v>1725</v>
      </c>
      <c r="I778" t="s">
        <v>1932</v>
      </c>
      <c r="J778" t="s">
        <v>2101</v>
      </c>
      <c r="K778">
        <v>757</v>
      </c>
      <c r="U778" t="s">
        <v>1690</v>
      </c>
    </row>
    <row r="779" spans="1:21" hidden="1" x14ac:dyDescent="0.25">
      <c r="A779">
        <v>762</v>
      </c>
      <c r="C779" t="s">
        <v>1688</v>
      </c>
      <c r="D779" t="s">
        <v>19</v>
      </c>
      <c r="E779" t="s">
        <v>35</v>
      </c>
      <c r="F779">
        <v>124.509</v>
      </c>
      <c r="G779">
        <v>133.27000000000001</v>
      </c>
      <c r="H779" s="3" t="s">
        <v>1699</v>
      </c>
      <c r="I779" t="s">
        <v>1932</v>
      </c>
      <c r="J779" t="s">
        <v>2101</v>
      </c>
      <c r="K779">
        <v>763</v>
      </c>
      <c r="U779" t="s">
        <v>1700</v>
      </c>
    </row>
    <row r="780" spans="1:21" hidden="1" x14ac:dyDescent="0.25">
      <c r="A780">
        <v>763</v>
      </c>
      <c r="C780" t="s">
        <v>1688</v>
      </c>
      <c r="D780" t="s">
        <v>19</v>
      </c>
      <c r="E780" t="s">
        <v>38</v>
      </c>
      <c r="F780">
        <v>125.27</v>
      </c>
      <c r="G780">
        <v>137.64599999999999</v>
      </c>
      <c r="H780" s="3" t="s">
        <v>1701</v>
      </c>
      <c r="I780" t="s">
        <v>1932</v>
      </c>
      <c r="J780" t="s">
        <v>2101</v>
      </c>
      <c r="K780">
        <v>762</v>
      </c>
      <c r="U780" t="s">
        <v>1702</v>
      </c>
    </row>
    <row r="781" spans="1:21" hidden="1" x14ac:dyDescent="0.25">
      <c r="A781">
        <v>759</v>
      </c>
      <c r="C781" t="s">
        <v>1688</v>
      </c>
      <c r="D781" t="s">
        <v>19</v>
      </c>
      <c r="E781" t="s">
        <v>26</v>
      </c>
      <c r="F781">
        <v>66.715999999999994</v>
      </c>
      <c r="G781">
        <v>75.527000000000001</v>
      </c>
      <c r="H781" s="3" t="s">
        <v>1693</v>
      </c>
      <c r="I781" t="s">
        <v>1932</v>
      </c>
      <c r="J781" t="s">
        <v>1957</v>
      </c>
      <c r="U781" t="s">
        <v>1694</v>
      </c>
    </row>
    <row r="782" spans="1:21" hidden="1" x14ac:dyDescent="0.25">
      <c r="A782">
        <v>760</v>
      </c>
      <c r="C782" t="s">
        <v>1688</v>
      </c>
      <c r="D782" t="s">
        <v>19</v>
      </c>
      <c r="E782" t="s">
        <v>29</v>
      </c>
      <c r="F782">
        <v>73.664000000000001</v>
      </c>
      <c r="G782">
        <v>83.233999999999995</v>
      </c>
      <c r="H782" s="3" t="s">
        <v>1695</v>
      </c>
      <c r="I782" t="s">
        <v>1932</v>
      </c>
      <c r="J782" t="s">
        <v>1939</v>
      </c>
      <c r="U782" t="s">
        <v>1696</v>
      </c>
    </row>
    <row r="783" spans="1:21" hidden="1" x14ac:dyDescent="0.25">
      <c r="A783">
        <v>778</v>
      </c>
      <c r="C783" t="s">
        <v>1688</v>
      </c>
      <c r="D783" t="s">
        <v>47</v>
      </c>
      <c r="E783" t="s">
        <v>20</v>
      </c>
      <c r="F783">
        <v>428.79899999999998</v>
      </c>
      <c r="G783">
        <v>439.22800000000001</v>
      </c>
      <c r="H783" s="3" t="s">
        <v>1730</v>
      </c>
      <c r="I783" t="s">
        <v>1932</v>
      </c>
      <c r="J783" t="s">
        <v>2053</v>
      </c>
      <c r="U783" t="s">
        <v>1731</v>
      </c>
    </row>
    <row r="784" spans="1:21" hidden="1" x14ac:dyDescent="0.25">
      <c r="A784">
        <v>766</v>
      </c>
      <c r="C784" t="s">
        <v>1688</v>
      </c>
      <c r="D784" t="s">
        <v>19</v>
      </c>
      <c r="E784" t="s">
        <v>85</v>
      </c>
      <c r="F784">
        <v>1383.306</v>
      </c>
      <c r="G784">
        <v>1392.4169999999999</v>
      </c>
      <c r="H784" s="3" t="s">
        <v>1707</v>
      </c>
      <c r="I784" t="s">
        <v>1932</v>
      </c>
      <c r="J784" t="s">
        <v>1957</v>
      </c>
      <c r="U784" t="s">
        <v>1708</v>
      </c>
    </row>
    <row r="785" spans="1:22" hidden="1" x14ac:dyDescent="0.25">
      <c r="A785">
        <v>767</v>
      </c>
      <c r="C785" t="s">
        <v>1688</v>
      </c>
      <c r="D785" t="s">
        <v>19</v>
      </c>
      <c r="E785" t="s">
        <v>88</v>
      </c>
      <c r="F785">
        <v>1740.2629999999999</v>
      </c>
      <c r="G785">
        <v>1750.1780000000001</v>
      </c>
      <c r="H785" s="3" t="s">
        <v>1709</v>
      </c>
      <c r="I785" t="s">
        <v>1932</v>
      </c>
      <c r="J785" t="s">
        <v>1948</v>
      </c>
      <c r="U785" t="s">
        <v>1710</v>
      </c>
    </row>
    <row r="786" spans="1:22" hidden="1" x14ac:dyDescent="0.25">
      <c r="A786">
        <v>829</v>
      </c>
      <c r="C786" t="s">
        <v>1808</v>
      </c>
      <c r="D786" t="s">
        <v>118</v>
      </c>
      <c r="E786" t="s">
        <v>44</v>
      </c>
      <c r="F786">
        <v>3576.3530000000001</v>
      </c>
      <c r="G786">
        <v>3587.0749999999998</v>
      </c>
      <c r="H786" s="3" t="s">
        <v>1839</v>
      </c>
      <c r="I786" t="s">
        <v>1934</v>
      </c>
      <c r="L786" t="s">
        <v>1932</v>
      </c>
      <c r="M786" t="s">
        <v>1932</v>
      </c>
      <c r="N786" t="s">
        <v>1932</v>
      </c>
      <c r="O786" t="s">
        <v>1936</v>
      </c>
      <c r="P786" t="s">
        <v>1934</v>
      </c>
      <c r="Q786">
        <v>1</v>
      </c>
      <c r="T786" t="s">
        <v>2220</v>
      </c>
      <c r="U786" t="s">
        <v>1840</v>
      </c>
    </row>
    <row r="787" spans="1:22" hidden="1" x14ac:dyDescent="0.25">
      <c r="A787">
        <v>768</v>
      </c>
      <c r="C787" t="s">
        <v>1688</v>
      </c>
      <c r="D787" t="s">
        <v>19</v>
      </c>
      <c r="E787" t="s">
        <v>91</v>
      </c>
      <c r="F787">
        <v>1753.924</v>
      </c>
      <c r="G787">
        <v>1763.3</v>
      </c>
      <c r="H787" s="3" t="s">
        <v>1711</v>
      </c>
      <c r="I787" t="s">
        <v>1932</v>
      </c>
      <c r="J787" t="s">
        <v>1957</v>
      </c>
      <c r="K787">
        <v>776</v>
      </c>
      <c r="U787" t="s">
        <v>1712</v>
      </c>
    </row>
    <row r="788" spans="1:22" hidden="1" x14ac:dyDescent="0.25">
      <c r="A788">
        <v>776</v>
      </c>
      <c r="C788" t="s">
        <v>1688</v>
      </c>
      <c r="D788" t="s">
        <v>118</v>
      </c>
      <c r="E788" t="s">
        <v>23</v>
      </c>
      <c r="F788">
        <v>1756.1569999999999</v>
      </c>
      <c r="G788">
        <v>1764.9670000000001</v>
      </c>
      <c r="H788" s="3" t="s">
        <v>1726</v>
      </c>
      <c r="I788" t="s">
        <v>1932</v>
      </c>
      <c r="J788" t="s">
        <v>1957</v>
      </c>
      <c r="K788">
        <v>768</v>
      </c>
      <c r="U788" t="s">
        <v>1727</v>
      </c>
    </row>
    <row r="789" spans="1:22" hidden="1" x14ac:dyDescent="0.25">
      <c r="A789">
        <v>777</v>
      </c>
      <c r="C789" t="s">
        <v>1688</v>
      </c>
      <c r="D789" t="s">
        <v>118</v>
      </c>
      <c r="E789" t="s">
        <v>26</v>
      </c>
      <c r="F789">
        <v>1785.4159999999999</v>
      </c>
      <c r="G789">
        <v>1794.0509999999999</v>
      </c>
      <c r="H789" s="3" t="s">
        <v>1728</v>
      </c>
      <c r="I789" t="s">
        <v>1932</v>
      </c>
      <c r="J789" t="s">
        <v>1957</v>
      </c>
      <c r="U789" t="s">
        <v>1729</v>
      </c>
    </row>
    <row r="790" spans="1:22" hidden="1" x14ac:dyDescent="0.25">
      <c r="A790">
        <v>769</v>
      </c>
      <c r="C790" t="s">
        <v>1688</v>
      </c>
      <c r="D790" t="s">
        <v>19</v>
      </c>
      <c r="E790" t="s">
        <v>94</v>
      </c>
      <c r="F790">
        <v>2072.85</v>
      </c>
      <c r="G790">
        <v>2084.3139999999999</v>
      </c>
      <c r="H790" s="3" t="s">
        <v>1713</v>
      </c>
      <c r="I790" t="s">
        <v>1932</v>
      </c>
      <c r="J790" t="s">
        <v>2101</v>
      </c>
      <c r="U790" t="s">
        <v>1714</v>
      </c>
    </row>
    <row r="791" spans="1:22" hidden="1" x14ac:dyDescent="0.25">
      <c r="A791">
        <v>770</v>
      </c>
      <c r="C791" t="s">
        <v>1688</v>
      </c>
      <c r="D791" t="s">
        <v>19</v>
      </c>
      <c r="E791" t="s">
        <v>97</v>
      </c>
      <c r="F791">
        <v>2244.2550000000001</v>
      </c>
      <c r="G791">
        <v>2253.3609999999999</v>
      </c>
      <c r="H791" s="3" t="s">
        <v>1715</v>
      </c>
      <c r="I791" t="s">
        <v>1932</v>
      </c>
      <c r="J791" t="s">
        <v>1957</v>
      </c>
      <c r="U791" t="s">
        <v>1716</v>
      </c>
    </row>
    <row r="792" spans="1:22" hidden="1" x14ac:dyDescent="0.25">
      <c r="A792">
        <v>830</v>
      </c>
      <c r="C792" t="s">
        <v>1808</v>
      </c>
      <c r="D792" t="s">
        <v>47</v>
      </c>
      <c r="E792" t="s">
        <v>20</v>
      </c>
      <c r="F792">
        <v>72.406999999999996</v>
      </c>
      <c r="G792">
        <v>82.710999999999999</v>
      </c>
      <c r="H792" s="3" t="s">
        <v>1841</v>
      </c>
      <c r="I792" t="s">
        <v>1934</v>
      </c>
      <c r="K792">
        <v>831</v>
      </c>
      <c r="L792" t="s">
        <v>1932</v>
      </c>
      <c r="M792" t="s">
        <v>1932</v>
      </c>
      <c r="N792" t="s">
        <v>1932</v>
      </c>
      <c r="O792" t="s">
        <v>1936</v>
      </c>
      <c r="P792" t="s">
        <v>1934</v>
      </c>
      <c r="Q792">
        <v>1</v>
      </c>
      <c r="T792" t="s">
        <v>1972</v>
      </c>
      <c r="U792" t="s">
        <v>1842</v>
      </c>
      <c r="V792" t="s">
        <v>1843</v>
      </c>
    </row>
    <row r="793" spans="1:22" hidden="1" x14ac:dyDescent="0.25">
      <c r="A793">
        <v>771</v>
      </c>
      <c r="C793" t="s">
        <v>1688</v>
      </c>
      <c r="D793" t="s">
        <v>19</v>
      </c>
      <c r="E793" t="s">
        <v>100</v>
      </c>
      <c r="F793">
        <v>2519.6019999999999</v>
      </c>
      <c r="G793">
        <v>2530.4560000000001</v>
      </c>
      <c r="H793" s="3" t="s">
        <v>1717</v>
      </c>
      <c r="I793" t="s">
        <v>1932</v>
      </c>
      <c r="J793" t="s">
        <v>1961</v>
      </c>
      <c r="U793" t="s">
        <v>1718</v>
      </c>
    </row>
    <row r="794" spans="1:22" hidden="1" x14ac:dyDescent="0.25">
      <c r="A794">
        <v>772</v>
      </c>
      <c r="C794" t="s">
        <v>1688</v>
      </c>
      <c r="D794" t="s">
        <v>19</v>
      </c>
      <c r="E794" t="s">
        <v>103</v>
      </c>
      <c r="F794">
        <v>2732.4639999999999</v>
      </c>
      <c r="G794">
        <v>2743.0940000000001</v>
      </c>
      <c r="H794" s="3" t="s">
        <v>1719</v>
      </c>
      <c r="I794" t="s">
        <v>1932</v>
      </c>
      <c r="J794" t="s">
        <v>1947</v>
      </c>
      <c r="S794" t="s">
        <v>2186</v>
      </c>
      <c r="U794" t="s">
        <v>1720</v>
      </c>
    </row>
    <row r="795" spans="1:22" hidden="1" x14ac:dyDescent="0.25">
      <c r="A795">
        <v>773</v>
      </c>
      <c r="C795" t="s">
        <v>1688</v>
      </c>
      <c r="D795" t="s">
        <v>19</v>
      </c>
      <c r="E795" t="s">
        <v>106</v>
      </c>
      <c r="F795">
        <v>2750.373</v>
      </c>
      <c r="G795">
        <v>2759.0360000000001</v>
      </c>
      <c r="H795" s="3" t="s">
        <v>1721</v>
      </c>
      <c r="I795" t="s">
        <v>1932</v>
      </c>
      <c r="J795" t="s">
        <v>2125</v>
      </c>
      <c r="U795" t="s">
        <v>1722</v>
      </c>
    </row>
    <row r="796" spans="1:22" hidden="1" x14ac:dyDescent="0.25">
      <c r="A796">
        <v>774</v>
      </c>
      <c r="C796" t="s">
        <v>1688</v>
      </c>
      <c r="D796" t="s">
        <v>19</v>
      </c>
      <c r="E796" t="s">
        <v>109</v>
      </c>
      <c r="F796">
        <v>2906.826</v>
      </c>
      <c r="G796">
        <v>2918.13</v>
      </c>
      <c r="H796" s="3" t="s">
        <v>1723</v>
      </c>
      <c r="I796" t="s">
        <v>1932</v>
      </c>
      <c r="J796" t="s">
        <v>1940</v>
      </c>
      <c r="U796" t="s">
        <v>1724</v>
      </c>
    </row>
    <row r="797" spans="1:22" hidden="1" x14ac:dyDescent="0.25">
      <c r="A797">
        <v>795</v>
      </c>
      <c r="C797" t="s">
        <v>1732</v>
      </c>
      <c r="D797" t="s">
        <v>47</v>
      </c>
      <c r="E797" t="s">
        <v>20</v>
      </c>
      <c r="F797">
        <v>418.53100000000001</v>
      </c>
      <c r="G797">
        <v>428.81200000000001</v>
      </c>
      <c r="H797" s="3" t="s">
        <v>1765</v>
      </c>
      <c r="I797" t="s">
        <v>1932</v>
      </c>
      <c r="J797" t="s">
        <v>1952</v>
      </c>
      <c r="U797" t="s">
        <v>1766</v>
      </c>
    </row>
    <row r="798" spans="1:22" hidden="1" x14ac:dyDescent="0.25">
      <c r="A798">
        <v>779</v>
      </c>
      <c r="C798" t="s">
        <v>1732</v>
      </c>
      <c r="D798" t="s">
        <v>19</v>
      </c>
      <c r="E798" t="s">
        <v>20</v>
      </c>
      <c r="F798">
        <v>462.34100000000001</v>
      </c>
      <c r="G798">
        <v>472.94499999999999</v>
      </c>
      <c r="H798" s="3" t="s">
        <v>1733</v>
      </c>
      <c r="I798" t="s">
        <v>1932</v>
      </c>
      <c r="J798" t="s">
        <v>2101</v>
      </c>
      <c r="U798" t="s">
        <v>1734</v>
      </c>
    </row>
    <row r="799" spans="1:22" hidden="1" x14ac:dyDescent="0.25">
      <c r="A799">
        <v>796</v>
      </c>
      <c r="C799" t="s">
        <v>1732</v>
      </c>
      <c r="D799" t="s">
        <v>47</v>
      </c>
      <c r="E799" t="s">
        <v>23</v>
      </c>
      <c r="F799">
        <v>505.983</v>
      </c>
      <c r="G799">
        <v>516.58699999999999</v>
      </c>
      <c r="H799" s="3" t="s">
        <v>1767</v>
      </c>
      <c r="I799" t="s">
        <v>1932</v>
      </c>
      <c r="J799" t="s">
        <v>1947</v>
      </c>
      <c r="U799" t="s">
        <v>1768</v>
      </c>
    </row>
    <row r="800" spans="1:22" hidden="1" x14ac:dyDescent="0.25">
      <c r="A800">
        <v>797</v>
      </c>
      <c r="C800" t="s">
        <v>1732</v>
      </c>
      <c r="D800" t="s">
        <v>47</v>
      </c>
      <c r="E800" t="s">
        <v>26</v>
      </c>
      <c r="F800">
        <v>553.61800000000005</v>
      </c>
      <c r="G800">
        <v>562.16300000000001</v>
      </c>
      <c r="H800" s="3" t="s">
        <v>1769</v>
      </c>
      <c r="I800" t="s">
        <v>1932</v>
      </c>
      <c r="U800" t="s">
        <v>1770</v>
      </c>
    </row>
    <row r="801" spans="1:22" hidden="1" x14ac:dyDescent="0.25">
      <c r="A801">
        <v>789</v>
      </c>
      <c r="C801" t="s">
        <v>1732</v>
      </c>
      <c r="D801" t="s">
        <v>118</v>
      </c>
      <c r="E801" t="s">
        <v>20</v>
      </c>
      <c r="F801">
        <v>566.10400000000004</v>
      </c>
      <c r="G801">
        <v>576.23500000000001</v>
      </c>
      <c r="H801" s="3" t="s">
        <v>1753</v>
      </c>
      <c r="I801" t="s">
        <v>1932</v>
      </c>
      <c r="J801" t="s">
        <v>2101</v>
      </c>
      <c r="U801" t="s">
        <v>1754</v>
      </c>
    </row>
    <row r="802" spans="1:22" hidden="1" x14ac:dyDescent="0.25">
      <c r="A802">
        <v>798</v>
      </c>
      <c r="C802" t="s">
        <v>1732</v>
      </c>
      <c r="D802" t="s">
        <v>47</v>
      </c>
      <c r="E802" t="s">
        <v>29</v>
      </c>
      <c r="F802">
        <v>806.94399999999996</v>
      </c>
      <c r="G802">
        <v>815.529</v>
      </c>
      <c r="H802" s="3" t="s">
        <v>1771</v>
      </c>
      <c r="I802" t="s">
        <v>1932</v>
      </c>
      <c r="J802" t="s">
        <v>1956</v>
      </c>
      <c r="U802" t="s">
        <v>1772</v>
      </c>
    </row>
    <row r="803" spans="1:22" hidden="1" x14ac:dyDescent="0.25">
      <c r="A803">
        <v>780</v>
      </c>
      <c r="C803" t="s">
        <v>1732</v>
      </c>
      <c r="D803" t="s">
        <v>19</v>
      </c>
      <c r="E803" t="s">
        <v>23</v>
      </c>
      <c r="F803">
        <v>855.30899999999997</v>
      </c>
      <c r="G803">
        <v>867.85299999999995</v>
      </c>
      <c r="H803" s="3" t="s">
        <v>1735</v>
      </c>
      <c r="I803" t="s">
        <v>1932</v>
      </c>
      <c r="J803" t="s">
        <v>2101</v>
      </c>
      <c r="U803" t="s">
        <v>1736</v>
      </c>
    </row>
    <row r="804" spans="1:22" hidden="1" x14ac:dyDescent="0.25">
      <c r="A804">
        <v>831</v>
      </c>
      <c r="C804" t="s">
        <v>1808</v>
      </c>
      <c r="D804" t="s">
        <v>47</v>
      </c>
      <c r="E804" t="s">
        <v>23</v>
      </c>
      <c r="F804">
        <v>79.387</v>
      </c>
      <c r="G804">
        <v>89.427999999999997</v>
      </c>
      <c r="H804" s="3" t="s">
        <v>1844</v>
      </c>
      <c r="I804" t="s">
        <v>1934</v>
      </c>
      <c r="K804">
        <v>830</v>
      </c>
      <c r="L804" t="s">
        <v>1932</v>
      </c>
      <c r="M804" t="s">
        <v>1932</v>
      </c>
      <c r="N804" t="s">
        <v>1932</v>
      </c>
      <c r="O804" t="s">
        <v>1936</v>
      </c>
      <c r="P804" t="s">
        <v>1937</v>
      </c>
      <c r="R804" t="s">
        <v>1970</v>
      </c>
      <c r="T804" t="s">
        <v>1975</v>
      </c>
      <c r="U804" t="s">
        <v>1845</v>
      </c>
      <c r="V804" t="s">
        <v>1846</v>
      </c>
    </row>
    <row r="805" spans="1:22" hidden="1" x14ac:dyDescent="0.25">
      <c r="A805">
        <v>835</v>
      </c>
      <c r="C805" t="s">
        <v>1808</v>
      </c>
      <c r="D805" t="s">
        <v>47</v>
      </c>
      <c r="E805" t="s">
        <v>35</v>
      </c>
      <c r="F805">
        <v>174.101</v>
      </c>
      <c r="G805">
        <v>182.541</v>
      </c>
      <c r="H805" s="3" t="s">
        <v>1856</v>
      </c>
      <c r="I805" t="s">
        <v>1934</v>
      </c>
      <c r="J805" t="s">
        <v>1956</v>
      </c>
      <c r="L805" t="s">
        <v>1932</v>
      </c>
      <c r="M805" t="s">
        <v>1932</v>
      </c>
      <c r="N805" t="s">
        <v>1932</v>
      </c>
      <c r="O805" t="s">
        <v>1936</v>
      </c>
      <c r="P805" t="s">
        <v>1934</v>
      </c>
      <c r="Q805">
        <v>1</v>
      </c>
      <c r="T805" t="s">
        <v>2048</v>
      </c>
      <c r="U805" t="s">
        <v>1857</v>
      </c>
      <c r="V805" t="s">
        <v>1858</v>
      </c>
    </row>
    <row r="806" spans="1:22" hidden="1" x14ac:dyDescent="0.25">
      <c r="A806">
        <v>790</v>
      </c>
      <c r="C806" t="s">
        <v>1732</v>
      </c>
      <c r="D806" t="s">
        <v>118</v>
      </c>
      <c r="E806" t="s">
        <v>23</v>
      </c>
      <c r="F806">
        <v>912.077</v>
      </c>
      <c r="G806">
        <v>922.95600000000002</v>
      </c>
      <c r="H806" s="3" t="s">
        <v>1755</v>
      </c>
      <c r="I806" t="s">
        <v>1932</v>
      </c>
      <c r="J806" t="s">
        <v>1954</v>
      </c>
      <c r="U806" t="s">
        <v>1756</v>
      </c>
    </row>
    <row r="807" spans="1:22" hidden="1" x14ac:dyDescent="0.25">
      <c r="A807">
        <v>799</v>
      </c>
      <c r="C807" t="s">
        <v>1732</v>
      </c>
      <c r="D807" t="s">
        <v>47</v>
      </c>
      <c r="E807" t="s">
        <v>32</v>
      </c>
      <c r="F807">
        <v>935.84900000000005</v>
      </c>
      <c r="G807">
        <v>947.42399999999998</v>
      </c>
      <c r="H807" s="3" t="s">
        <v>1773</v>
      </c>
      <c r="I807" t="s">
        <v>1932</v>
      </c>
      <c r="J807" t="s">
        <v>2101</v>
      </c>
      <c r="U807" t="s">
        <v>1774</v>
      </c>
    </row>
    <row r="808" spans="1:22" hidden="1" x14ac:dyDescent="0.25">
      <c r="A808">
        <v>781</v>
      </c>
      <c r="C808" t="s">
        <v>1732</v>
      </c>
      <c r="D808" t="s">
        <v>19</v>
      </c>
      <c r="E808" t="s">
        <v>26</v>
      </c>
      <c r="F808">
        <v>946.55399999999997</v>
      </c>
      <c r="G808">
        <v>955.26400000000001</v>
      </c>
      <c r="H808" s="3" t="s">
        <v>1737</v>
      </c>
      <c r="I808" t="s">
        <v>1932</v>
      </c>
      <c r="J808" t="s">
        <v>2101</v>
      </c>
      <c r="U808" t="s">
        <v>1738</v>
      </c>
    </row>
    <row r="809" spans="1:22" hidden="1" x14ac:dyDescent="0.25">
      <c r="A809">
        <v>800</v>
      </c>
      <c r="C809" t="s">
        <v>1732</v>
      </c>
      <c r="D809" t="s">
        <v>47</v>
      </c>
      <c r="E809" t="s">
        <v>35</v>
      </c>
      <c r="F809">
        <v>1039.3340000000001</v>
      </c>
      <c r="G809">
        <v>1047.7909999999999</v>
      </c>
      <c r="H809" s="3" t="s">
        <v>1775</v>
      </c>
      <c r="I809" t="s">
        <v>1932</v>
      </c>
      <c r="J809" t="s">
        <v>1957</v>
      </c>
      <c r="U809" t="s">
        <v>1776</v>
      </c>
    </row>
    <row r="810" spans="1:22" hidden="1" x14ac:dyDescent="0.25">
      <c r="A810">
        <v>782</v>
      </c>
      <c r="C810" t="s">
        <v>1732</v>
      </c>
      <c r="D810" t="s">
        <v>19</v>
      </c>
      <c r="E810" t="s">
        <v>29</v>
      </c>
      <c r="F810">
        <v>1127.299</v>
      </c>
      <c r="G810">
        <v>1136.4480000000001</v>
      </c>
      <c r="H810" s="3" t="s">
        <v>1739</v>
      </c>
      <c r="I810" t="s">
        <v>1932</v>
      </c>
      <c r="J810" t="s">
        <v>2101</v>
      </c>
      <c r="U810" t="s">
        <v>1740</v>
      </c>
    </row>
    <row r="811" spans="1:22" hidden="1" x14ac:dyDescent="0.25">
      <c r="A811">
        <v>791</v>
      </c>
      <c r="C811" t="s">
        <v>1732</v>
      </c>
      <c r="D811" t="s">
        <v>118</v>
      </c>
      <c r="E811" t="s">
        <v>26</v>
      </c>
      <c r="F811">
        <v>1381.373</v>
      </c>
      <c r="G811">
        <v>1391.451</v>
      </c>
      <c r="H811" s="3" t="s">
        <v>1757</v>
      </c>
      <c r="I811" t="s">
        <v>1932</v>
      </c>
      <c r="J811" t="s">
        <v>2101</v>
      </c>
      <c r="U811" t="s">
        <v>1758</v>
      </c>
    </row>
    <row r="812" spans="1:22" hidden="1" x14ac:dyDescent="0.25">
      <c r="A812">
        <v>783</v>
      </c>
      <c r="C812" t="s">
        <v>1732</v>
      </c>
      <c r="D812" t="s">
        <v>19</v>
      </c>
      <c r="E812" t="s">
        <v>32</v>
      </c>
      <c r="F812">
        <v>1610.258</v>
      </c>
      <c r="G812">
        <v>1620.357</v>
      </c>
      <c r="H812" s="3" t="s">
        <v>1741</v>
      </c>
      <c r="I812" t="s">
        <v>1932</v>
      </c>
      <c r="J812" t="s">
        <v>1957</v>
      </c>
      <c r="U812" t="s">
        <v>1742</v>
      </c>
    </row>
    <row r="813" spans="1:22" hidden="1" x14ac:dyDescent="0.25">
      <c r="A813">
        <v>793</v>
      </c>
      <c r="C813" t="s">
        <v>1732</v>
      </c>
      <c r="D813" t="s">
        <v>118</v>
      </c>
      <c r="E813" t="s">
        <v>32</v>
      </c>
      <c r="F813">
        <v>1804.046</v>
      </c>
      <c r="G813">
        <v>1813.2080000000001</v>
      </c>
      <c r="H813" s="3" t="s">
        <v>1761</v>
      </c>
      <c r="I813" t="s">
        <v>1932</v>
      </c>
      <c r="J813" t="s">
        <v>2101</v>
      </c>
      <c r="U813" t="s">
        <v>1762</v>
      </c>
    </row>
    <row r="814" spans="1:22" hidden="1" x14ac:dyDescent="0.25">
      <c r="A814">
        <v>801</v>
      </c>
      <c r="C814" t="s">
        <v>1732</v>
      </c>
      <c r="D814" t="s">
        <v>47</v>
      </c>
      <c r="E814" t="s">
        <v>38</v>
      </c>
      <c r="F814">
        <v>1812.606</v>
      </c>
      <c r="G814">
        <v>1821.0820000000001</v>
      </c>
      <c r="H814" s="3" t="s">
        <v>1777</v>
      </c>
      <c r="I814" t="s">
        <v>1932</v>
      </c>
      <c r="J814" t="s">
        <v>2101</v>
      </c>
      <c r="U814" t="s">
        <v>1778</v>
      </c>
    </row>
    <row r="815" spans="1:22" hidden="1" x14ac:dyDescent="0.25">
      <c r="A815">
        <v>784</v>
      </c>
      <c r="C815" t="s">
        <v>1732</v>
      </c>
      <c r="D815" t="s">
        <v>19</v>
      </c>
      <c r="E815" t="s">
        <v>35</v>
      </c>
      <c r="F815">
        <v>1935.143</v>
      </c>
      <c r="G815">
        <v>1944.645</v>
      </c>
      <c r="H815" s="3" t="s">
        <v>1743</v>
      </c>
      <c r="I815" t="s">
        <v>1932</v>
      </c>
      <c r="J815" t="s">
        <v>2125</v>
      </c>
      <c r="U815" t="s">
        <v>1744</v>
      </c>
    </row>
    <row r="816" spans="1:22" hidden="1" x14ac:dyDescent="0.25">
      <c r="A816">
        <v>785</v>
      </c>
      <c r="C816" t="s">
        <v>1732</v>
      </c>
      <c r="D816" t="s">
        <v>19</v>
      </c>
      <c r="E816" t="s">
        <v>38</v>
      </c>
      <c r="F816">
        <v>1971.604</v>
      </c>
      <c r="G816">
        <v>1980.085</v>
      </c>
      <c r="H816" s="3" t="s">
        <v>1745</v>
      </c>
      <c r="I816" t="s">
        <v>1932</v>
      </c>
      <c r="J816" t="s">
        <v>2101</v>
      </c>
      <c r="U816" t="s">
        <v>1746</v>
      </c>
    </row>
    <row r="817" spans="1:31" hidden="1" x14ac:dyDescent="0.25">
      <c r="A817">
        <v>836</v>
      </c>
      <c r="C817" t="s">
        <v>1808</v>
      </c>
      <c r="D817" t="s">
        <v>47</v>
      </c>
      <c r="E817" t="s">
        <v>38</v>
      </c>
      <c r="F817">
        <v>536.06100000000004</v>
      </c>
      <c r="G817">
        <v>544.98699999999997</v>
      </c>
      <c r="H817" s="3" t="s">
        <v>1859</v>
      </c>
      <c r="I817" t="s">
        <v>1934</v>
      </c>
      <c r="L817" t="s">
        <v>2012</v>
      </c>
      <c r="M817" t="s">
        <v>1932</v>
      </c>
      <c r="N817" t="s">
        <v>1932</v>
      </c>
      <c r="O817" t="s">
        <v>1936</v>
      </c>
      <c r="P817" t="s">
        <v>1934</v>
      </c>
      <c r="Q817">
        <v>1</v>
      </c>
      <c r="T817" t="s">
        <v>2066</v>
      </c>
      <c r="U817" t="s">
        <v>1860</v>
      </c>
    </row>
    <row r="818" spans="1:31" hidden="1" x14ac:dyDescent="0.25">
      <c r="A818">
        <v>786</v>
      </c>
      <c r="C818" t="s">
        <v>1732</v>
      </c>
      <c r="D818" t="s">
        <v>19</v>
      </c>
      <c r="E818" t="s">
        <v>41</v>
      </c>
      <c r="F818">
        <v>2216.0659999999998</v>
      </c>
      <c r="G818">
        <v>2225.9940000000001</v>
      </c>
      <c r="H818" s="3" t="s">
        <v>1747</v>
      </c>
      <c r="I818" t="s">
        <v>1932</v>
      </c>
      <c r="J818" t="s">
        <v>1956</v>
      </c>
      <c r="U818" t="s">
        <v>1748</v>
      </c>
    </row>
    <row r="819" spans="1:31" hidden="1" x14ac:dyDescent="0.25">
      <c r="A819">
        <v>787</v>
      </c>
      <c r="C819" t="s">
        <v>1732</v>
      </c>
      <c r="D819" t="s">
        <v>19</v>
      </c>
      <c r="E819" t="s">
        <v>44</v>
      </c>
      <c r="F819">
        <v>2292.1979999999999</v>
      </c>
      <c r="G819">
        <v>2301.9180000000001</v>
      </c>
      <c r="H819" s="3" t="s">
        <v>1749</v>
      </c>
      <c r="I819" t="s">
        <v>1932</v>
      </c>
      <c r="J819" t="s">
        <v>1947</v>
      </c>
      <c r="U819" t="s">
        <v>1750</v>
      </c>
    </row>
    <row r="820" spans="1:31" hidden="1" x14ac:dyDescent="0.25">
      <c r="A820">
        <v>802</v>
      </c>
      <c r="C820" t="s">
        <v>1732</v>
      </c>
      <c r="D820" t="s">
        <v>47</v>
      </c>
      <c r="E820" t="s">
        <v>41</v>
      </c>
      <c r="F820">
        <v>2358.4749999999999</v>
      </c>
      <c r="G820">
        <v>2369.1729999999998</v>
      </c>
      <c r="H820" s="3" t="s">
        <v>1779</v>
      </c>
      <c r="I820" t="s">
        <v>1932</v>
      </c>
      <c r="J820" t="s">
        <v>2106</v>
      </c>
      <c r="U820" t="s">
        <v>1780</v>
      </c>
    </row>
    <row r="821" spans="1:31" hidden="1" x14ac:dyDescent="0.25">
      <c r="A821">
        <v>803</v>
      </c>
      <c r="C821" t="s">
        <v>1732</v>
      </c>
      <c r="D821" t="s">
        <v>47</v>
      </c>
      <c r="E821" t="s">
        <v>44</v>
      </c>
      <c r="F821">
        <v>2365.9090000000001</v>
      </c>
      <c r="G821">
        <v>2375.8829999999998</v>
      </c>
      <c r="H821" s="3" t="s">
        <v>1781</v>
      </c>
      <c r="I821" t="s">
        <v>1932</v>
      </c>
      <c r="J821" t="s">
        <v>2106</v>
      </c>
      <c r="U821" t="s">
        <v>1782</v>
      </c>
    </row>
    <row r="822" spans="1:31" hidden="1" x14ac:dyDescent="0.25">
      <c r="A822">
        <v>804</v>
      </c>
      <c r="C822" t="s">
        <v>1732</v>
      </c>
      <c r="D822" t="s">
        <v>47</v>
      </c>
      <c r="E822" t="s">
        <v>85</v>
      </c>
      <c r="F822">
        <v>2389.123</v>
      </c>
      <c r="G822">
        <v>2397.7069999999999</v>
      </c>
      <c r="H822" s="3" t="s">
        <v>1783</v>
      </c>
      <c r="I822" t="s">
        <v>1932</v>
      </c>
      <c r="J822" t="s">
        <v>1949</v>
      </c>
      <c r="U822" t="s">
        <v>1784</v>
      </c>
    </row>
    <row r="823" spans="1:31" hidden="1" x14ac:dyDescent="0.25">
      <c r="A823">
        <v>805</v>
      </c>
      <c r="C823" t="s">
        <v>1732</v>
      </c>
      <c r="D823" t="s">
        <v>47</v>
      </c>
      <c r="E823" t="s">
        <v>88</v>
      </c>
      <c r="F823">
        <v>2400.6909999999998</v>
      </c>
      <c r="G823">
        <v>2411.2139999999999</v>
      </c>
      <c r="H823" s="3" t="s">
        <v>1785</v>
      </c>
      <c r="I823" t="s">
        <v>1932</v>
      </c>
      <c r="J823" t="s">
        <v>1957</v>
      </c>
      <c r="U823" t="s">
        <v>1786</v>
      </c>
    </row>
    <row r="824" spans="1:31" hidden="1" x14ac:dyDescent="0.25">
      <c r="A824">
        <v>794</v>
      </c>
      <c r="C824" t="s">
        <v>1732</v>
      </c>
      <c r="D824" t="s">
        <v>118</v>
      </c>
      <c r="E824" t="s">
        <v>35</v>
      </c>
      <c r="F824">
        <v>2415.3200000000002</v>
      </c>
      <c r="G824">
        <v>2427.2150000000001</v>
      </c>
      <c r="H824" s="3" t="s">
        <v>1763</v>
      </c>
      <c r="I824" t="s">
        <v>1932</v>
      </c>
      <c r="J824" t="s">
        <v>2101</v>
      </c>
      <c r="U824" t="s">
        <v>1764</v>
      </c>
    </row>
    <row r="825" spans="1:31" hidden="1" x14ac:dyDescent="0.25">
      <c r="A825">
        <v>807</v>
      </c>
      <c r="C825" t="s">
        <v>1732</v>
      </c>
      <c r="D825" t="s">
        <v>47</v>
      </c>
      <c r="E825" t="s">
        <v>94</v>
      </c>
      <c r="F825">
        <v>2582.3110000000001</v>
      </c>
      <c r="G825">
        <v>2591.9830000000002</v>
      </c>
      <c r="H825" s="3" t="s">
        <v>1789</v>
      </c>
      <c r="I825" t="s">
        <v>1932</v>
      </c>
      <c r="J825" t="s">
        <v>2101</v>
      </c>
      <c r="U825" t="s">
        <v>1790</v>
      </c>
    </row>
    <row r="826" spans="1:31" hidden="1" x14ac:dyDescent="0.25">
      <c r="A826">
        <v>788</v>
      </c>
      <c r="C826" t="s">
        <v>1732</v>
      </c>
      <c r="D826" t="s">
        <v>19</v>
      </c>
      <c r="E826" t="s">
        <v>85</v>
      </c>
      <c r="F826">
        <v>2639.79</v>
      </c>
      <c r="G826">
        <v>2649.9380000000001</v>
      </c>
      <c r="H826" s="3" t="s">
        <v>1751</v>
      </c>
      <c r="I826" t="s">
        <v>1932</v>
      </c>
      <c r="J826" t="s">
        <v>1940</v>
      </c>
      <c r="U826" t="s">
        <v>1752</v>
      </c>
    </row>
    <row r="827" spans="1:31" hidden="1" x14ac:dyDescent="0.25">
      <c r="A827">
        <v>810</v>
      </c>
      <c r="C827" t="s">
        <v>1732</v>
      </c>
      <c r="D827" t="s">
        <v>47</v>
      </c>
      <c r="E827" t="s">
        <v>103</v>
      </c>
      <c r="F827">
        <v>3477.3069999999998</v>
      </c>
      <c r="G827">
        <v>3488.4070000000002</v>
      </c>
      <c r="H827" s="3" t="s">
        <v>1795</v>
      </c>
      <c r="I827" t="s">
        <v>1932</v>
      </c>
      <c r="J827" t="s">
        <v>2101</v>
      </c>
      <c r="U827" t="s">
        <v>1796</v>
      </c>
    </row>
    <row r="828" spans="1:31" hidden="1" x14ac:dyDescent="0.25">
      <c r="A828">
        <v>832</v>
      </c>
      <c r="C828" t="s">
        <v>1808</v>
      </c>
      <c r="D828" t="s">
        <v>47</v>
      </c>
      <c r="E828" t="s">
        <v>26</v>
      </c>
      <c r="F828">
        <v>93.02</v>
      </c>
      <c r="G828">
        <v>101.515</v>
      </c>
      <c r="H828" s="3" t="s">
        <v>1847</v>
      </c>
      <c r="I828" t="s">
        <v>1932</v>
      </c>
      <c r="J828" t="s">
        <v>2101</v>
      </c>
      <c r="U828" t="s">
        <v>1848</v>
      </c>
      <c r="V828" t="s">
        <v>1849</v>
      </c>
    </row>
    <row r="829" spans="1:31" x14ac:dyDescent="0.25">
      <c r="A829">
        <v>840</v>
      </c>
      <c r="C829" t="s">
        <v>1808</v>
      </c>
      <c r="D829" t="s">
        <v>47</v>
      </c>
      <c r="E829" t="s">
        <v>88</v>
      </c>
      <c r="F829">
        <v>1931.7049999999999</v>
      </c>
      <c r="G829">
        <v>1940.4549999999999</v>
      </c>
      <c r="H829" s="3" t="s">
        <v>1867</v>
      </c>
      <c r="I829" t="s">
        <v>1934</v>
      </c>
      <c r="L829" t="s">
        <v>1932</v>
      </c>
      <c r="M829" t="s">
        <v>1932</v>
      </c>
      <c r="N829" t="s">
        <v>1932</v>
      </c>
      <c r="O829" t="s">
        <v>1936</v>
      </c>
      <c r="P829" t="s">
        <v>2095</v>
      </c>
      <c r="Q829">
        <v>4</v>
      </c>
      <c r="T829" t="s">
        <v>2154</v>
      </c>
      <c r="U829" t="s">
        <v>1868</v>
      </c>
    </row>
    <row r="830" spans="1:31" hidden="1" x14ac:dyDescent="0.25">
      <c r="A830">
        <v>833</v>
      </c>
      <c r="C830" t="s">
        <v>1808</v>
      </c>
      <c r="D830" t="s">
        <v>47</v>
      </c>
      <c r="E830" t="s">
        <v>29</v>
      </c>
      <c r="F830">
        <v>114.376</v>
      </c>
      <c r="G830">
        <v>124.33199999999999</v>
      </c>
      <c r="H830" s="3" t="s">
        <v>1850</v>
      </c>
      <c r="I830" t="s">
        <v>1932</v>
      </c>
      <c r="J830" t="s">
        <v>1961</v>
      </c>
      <c r="U830" t="s">
        <v>1851</v>
      </c>
      <c r="V830" t="s">
        <v>1852</v>
      </c>
    </row>
    <row r="831" spans="1:31" hidden="1" x14ac:dyDescent="0.25">
      <c r="A831">
        <v>816</v>
      </c>
      <c r="B831" t="s">
        <v>2295</v>
      </c>
      <c r="C831" t="s">
        <v>1808</v>
      </c>
      <c r="D831" t="s">
        <v>19</v>
      </c>
      <c r="E831" t="s">
        <v>20</v>
      </c>
      <c r="F831">
        <v>53.292999999999999</v>
      </c>
      <c r="G831">
        <v>63.466999999999999</v>
      </c>
      <c r="H831" s="3" t="s">
        <v>1809</v>
      </c>
      <c r="I831" t="s">
        <v>1934</v>
      </c>
      <c r="L831" t="s">
        <v>1935</v>
      </c>
      <c r="M831" t="s">
        <v>1932</v>
      </c>
      <c r="N831" t="s">
        <v>1932</v>
      </c>
      <c r="O831" t="s">
        <v>1936</v>
      </c>
      <c r="P831" t="s">
        <v>2095</v>
      </c>
      <c r="Q831">
        <v>4</v>
      </c>
      <c r="T831" t="s">
        <v>2167</v>
      </c>
      <c r="U831" t="s">
        <v>1810</v>
      </c>
      <c r="V831" t="s">
        <v>1811</v>
      </c>
      <c r="W831" t="s">
        <v>2359</v>
      </c>
      <c r="X831">
        <v>1</v>
      </c>
      <c r="Y831" t="s">
        <v>2297</v>
      </c>
      <c r="Z831" s="5"/>
      <c r="AA831">
        <v>1</v>
      </c>
      <c r="AB831" s="5"/>
      <c r="AD831">
        <v>2</v>
      </c>
      <c r="AE831" t="s">
        <v>2309</v>
      </c>
    </row>
    <row r="832" spans="1:31" hidden="1" x14ac:dyDescent="0.25">
      <c r="A832">
        <v>847</v>
      </c>
      <c r="C832" t="s">
        <v>1881</v>
      </c>
      <c r="D832" t="s">
        <v>19</v>
      </c>
      <c r="E832" t="s">
        <v>20</v>
      </c>
      <c r="F832">
        <v>308.17899999999997</v>
      </c>
      <c r="G832">
        <v>319.04700000000003</v>
      </c>
      <c r="H832" s="3" t="s">
        <v>1882</v>
      </c>
      <c r="I832" t="s">
        <v>1934</v>
      </c>
      <c r="J832" t="s">
        <v>1938</v>
      </c>
      <c r="L832" t="s">
        <v>1932</v>
      </c>
      <c r="M832" t="s">
        <v>1934</v>
      </c>
      <c r="N832" t="s">
        <v>1932</v>
      </c>
      <c r="O832" t="s">
        <v>1955</v>
      </c>
      <c r="P832" t="s">
        <v>1937</v>
      </c>
      <c r="Q832">
        <v>1</v>
      </c>
      <c r="T832" t="s">
        <v>2002</v>
      </c>
      <c r="U832" t="s">
        <v>1883</v>
      </c>
      <c r="V832" t="s">
        <v>1884</v>
      </c>
    </row>
    <row r="833" spans="1:31" hidden="1" x14ac:dyDescent="0.25">
      <c r="A833">
        <v>817</v>
      </c>
      <c r="C833" t="s">
        <v>1808</v>
      </c>
      <c r="D833" t="s">
        <v>19</v>
      </c>
      <c r="E833" t="s">
        <v>23</v>
      </c>
      <c r="F833">
        <v>235.452</v>
      </c>
      <c r="G833">
        <v>244.786</v>
      </c>
      <c r="H833" s="3" t="s">
        <v>1812</v>
      </c>
      <c r="I833" t="s">
        <v>1932</v>
      </c>
      <c r="K833">
        <v>823</v>
      </c>
      <c r="L833" t="s">
        <v>1932</v>
      </c>
      <c r="M833" t="s">
        <v>1934</v>
      </c>
      <c r="N833" t="s">
        <v>1932</v>
      </c>
      <c r="O833" t="s">
        <v>1936</v>
      </c>
      <c r="P833" t="s">
        <v>1937</v>
      </c>
      <c r="T833" t="s">
        <v>1996</v>
      </c>
      <c r="U833" t="s">
        <v>1813</v>
      </c>
      <c r="V833" t="s">
        <v>1814</v>
      </c>
    </row>
    <row r="834" spans="1:31" hidden="1" x14ac:dyDescent="0.25">
      <c r="A834">
        <v>818</v>
      </c>
      <c r="C834" t="s">
        <v>1808</v>
      </c>
      <c r="D834" t="s">
        <v>19</v>
      </c>
      <c r="E834" t="s">
        <v>26</v>
      </c>
      <c r="F834">
        <v>764.08299999999997</v>
      </c>
      <c r="G834">
        <v>775.46400000000006</v>
      </c>
      <c r="H834" s="3" t="s">
        <v>1815</v>
      </c>
      <c r="I834" t="s">
        <v>1932</v>
      </c>
      <c r="J834" t="s">
        <v>2101</v>
      </c>
      <c r="K834">
        <v>826</v>
      </c>
      <c r="U834" t="s">
        <v>1816</v>
      </c>
    </row>
    <row r="835" spans="1:31" hidden="1" x14ac:dyDescent="0.25">
      <c r="A835">
        <v>826</v>
      </c>
      <c r="C835" t="s">
        <v>1808</v>
      </c>
      <c r="D835" t="s">
        <v>118</v>
      </c>
      <c r="E835" t="s">
        <v>35</v>
      </c>
      <c r="F835">
        <v>764.08299999999997</v>
      </c>
      <c r="G835">
        <v>775.46400000000006</v>
      </c>
      <c r="H835" s="3" t="s">
        <v>1834</v>
      </c>
      <c r="I835" t="s">
        <v>1932</v>
      </c>
      <c r="J835" t="s">
        <v>2101</v>
      </c>
      <c r="K835">
        <v>818</v>
      </c>
      <c r="U835" t="s">
        <v>1816</v>
      </c>
    </row>
    <row r="836" spans="1:31" hidden="1" x14ac:dyDescent="0.25">
      <c r="A836">
        <v>834</v>
      </c>
      <c r="C836" t="s">
        <v>1808</v>
      </c>
      <c r="D836" t="s">
        <v>47</v>
      </c>
      <c r="E836" t="s">
        <v>32</v>
      </c>
      <c r="F836">
        <v>128.35499999999999</v>
      </c>
      <c r="G836">
        <v>136.898</v>
      </c>
      <c r="H836" s="3" t="s">
        <v>1853</v>
      </c>
      <c r="I836" t="s">
        <v>1932</v>
      </c>
      <c r="J836" t="s">
        <v>2125</v>
      </c>
      <c r="L836" t="s">
        <v>1932</v>
      </c>
      <c r="M836" t="s">
        <v>1932</v>
      </c>
      <c r="N836" t="s">
        <v>1932</v>
      </c>
      <c r="O836" t="s">
        <v>1936</v>
      </c>
      <c r="P836" t="s">
        <v>1934</v>
      </c>
      <c r="Q836">
        <v>1</v>
      </c>
      <c r="R836" t="s">
        <v>1970</v>
      </c>
      <c r="T836" t="s">
        <v>1983</v>
      </c>
      <c r="U836" t="s">
        <v>1854</v>
      </c>
      <c r="V836" t="s">
        <v>1855</v>
      </c>
    </row>
    <row r="837" spans="1:31" hidden="1" x14ac:dyDescent="0.25">
      <c r="A837">
        <v>837</v>
      </c>
      <c r="C837" t="s">
        <v>1808</v>
      </c>
      <c r="D837" t="s">
        <v>47</v>
      </c>
      <c r="E837" t="s">
        <v>41</v>
      </c>
      <c r="F837">
        <v>1230.7729999999999</v>
      </c>
      <c r="G837">
        <v>1241.3019999999999</v>
      </c>
      <c r="H837" s="3" t="s">
        <v>1861</v>
      </c>
      <c r="I837" t="s">
        <v>1932</v>
      </c>
      <c r="J837" t="s">
        <v>2114</v>
      </c>
      <c r="U837" t="s">
        <v>1862</v>
      </c>
    </row>
    <row r="838" spans="1:31" hidden="1" x14ac:dyDescent="0.25">
      <c r="A838">
        <v>827</v>
      </c>
      <c r="C838" t="s">
        <v>1808</v>
      </c>
      <c r="D838" t="s">
        <v>118</v>
      </c>
      <c r="E838" t="s">
        <v>38</v>
      </c>
      <c r="F838">
        <v>1867.617</v>
      </c>
      <c r="G838">
        <v>1879.548</v>
      </c>
      <c r="H838" s="3" t="s">
        <v>1835</v>
      </c>
      <c r="I838" t="s">
        <v>1932</v>
      </c>
      <c r="J838" t="s">
        <v>2101</v>
      </c>
      <c r="U838" t="s">
        <v>1836</v>
      </c>
    </row>
    <row r="839" spans="1:31" hidden="1" x14ac:dyDescent="0.25">
      <c r="A839">
        <v>838</v>
      </c>
      <c r="C839" t="s">
        <v>1808</v>
      </c>
      <c r="D839" t="s">
        <v>47</v>
      </c>
      <c r="E839" t="s">
        <v>44</v>
      </c>
      <c r="F839">
        <v>1918.002</v>
      </c>
      <c r="G839">
        <v>1928.1189999999999</v>
      </c>
      <c r="H839" s="3" t="s">
        <v>1863</v>
      </c>
      <c r="I839" t="s">
        <v>1932</v>
      </c>
      <c r="J839" t="s">
        <v>2101</v>
      </c>
      <c r="K839">
        <v>839</v>
      </c>
      <c r="U839" t="s">
        <v>1864</v>
      </c>
    </row>
    <row r="840" spans="1:31" hidden="1" x14ac:dyDescent="0.25">
      <c r="A840">
        <v>839</v>
      </c>
      <c r="C840" t="s">
        <v>1808</v>
      </c>
      <c r="D840" t="s">
        <v>47</v>
      </c>
      <c r="E840" t="s">
        <v>85</v>
      </c>
      <c r="F840">
        <v>1920.422</v>
      </c>
      <c r="G840">
        <v>1929.0519999999999</v>
      </c>
      <c r="H840" s="3" t="s">
        <v>1865</v>
      </c>
      <c r="I840" t="s">
        <v>1932</v>
      </c>
      <c r="J840" t="s">
        <v>2101</v>
      </c>
      <c r="K840">
        <v>838</v>
      </c>
      <c r="U840" t="s">
        <v>1866</v>
      </c>
    </row>
    <row r="841" spans="1:31" hidden="1" x14ac:dyDescent="0.25">
      <c r="A841">
        <v>841</v>
      </c>
      <c r="C841" t="s">
        <v>1808</v>
      </c>
      <c r="D841" t="s">
        <v>47</v>
      </c>
      <c r="E841" t="s">
        <v>91</v>
      </c>
      <c r="F841">
        <v>2002.239</v>
      </c>
      <c r="G841">
        <v>2010.8219999999999</v>
      </c>
      <c r="H841" s="3" t="s">
        <v>1869</v>
      </c>
      <c r="I841" t="s">
        <v>1932</v>
      </c>
      <c r="J841" t="s">
        <v>2101</v>
      </c>
      <c r="K841">
        <v>842</v>
      </c>
      <c r="U841" t="s">
        <v>1870</v>
      </c>
    </row>
    <row r="842" spans="1:31" hidden="1" x14ac:dyDescent="0.25">
      <c r="A842">
        <v>854</v>
      </c>
      <c r="C842" t="s">
        <v>1881</v>
      </c>
      <c r="D842" t="s">
        <v>19</v>
      </c>
      <c r="E842" t="s">
        <v>41</v>
      </c>
      <c r="F842">
        <v>2161.172</v>
      </c>
      <c r="G842">
        <v>2170.6350000000002</v>
      </c>
      <c r="H842" s="3" t="s">
        <v>1897</v>
      </c>
      <c r="I842" t="s">
        <v>1934</v>
      </c>
      <c r="L842" t="s">
        <v>1932</v>
      </c>
      <c r="M842" t="s">
        <v>1932</v>
      </c>
      <c r="N842" t="s">
        <v>1932</v>
      </c>
      <c r="O842" t="s">
        <v>1936</v>
      </c>
      <c r="P842" t="s">
        <v>1934</v>
      </c>
      <c r="Q842">
        <v>1</v>
      </c>
      <c r="T842" t="s">
        <v>2161</v>
      </c>
      <c r="U842" t="s">
        <v>1898</v>
      </c>
    </row>
    <row r="843" spans="1:31" hidden="1" x14ac:dyDescent="0.25">
      <c r="A843">
        <v>842</v>
      </c>
      <c r="C843" t="s">
        <v>1808</v>
      </c>
      <c r="D843" t="s">
        <v>47</v>
      </c>
      <c r="E843" t="s">
        <v>94</v>
      </c>
      <c r="F843">
        <v>2005.2639999999999</v>
      </c>
      <c r="G843">
        <v>2013.9179999999999</v>
      </c>
      <c r="H843" s="3" t="s">
        <v>1871</v>
      </c>
      <c r="I843" t="s">
        <v>1932</v>
      </c>
      <c r="J843" t="s">
        <v>2101</v>
      </c>
      <c r="K843">
        <v>841</v>
      </c>
      <c r="U843" t="s">
        <v>1872</v>
      </c>
    </row>
    <row r="844" spans="1:31" hidden="1" x14ac:dyDescent="0.25">
      <c r="A844">
        <v>845</v>
      </c>
      <c r="B844" t="s">
        <v>2294</v>
      </c>
      <c r="C844" t="s">
        <v>1808</v>
      </c>
      <c r="D844" t="s">
        <v>47</v>
      </c>
      <c r="E844" t="s">
        <v>103</v>
      </c>
      <c r="F844">
        <v>3534.9160000000002</v>
      </c>
      <c r="G844">
        <v>3544.569</v>
      </c>
      <c r="H844" s="3" t="s">
        <v>1877</v>
      </c>
      <c r="I844" t="s">
        <v>1934</v>
      </c>
      <c r="L844" t="s">
        <v>1932</v>
      </c>
      <c r="M844" t="s">
        <v>1932</v>
      </c>
      <c r="N844" t="s">
        <v>1932</v>
      </c>
      <c r="O844" t="s">
        <v>1936</v>
      </c>
      <c r="P844" t="s">
        <v>2095</v>
      </c>
      <c r="Q844">
        <v>4</v>
      </c>
      <c r="T844" t="s">
        <v>2219</v>
      </c>
      <c r="U844" t="s">
        <v>1878</v>
      </c>
      <c r="W844" t="s">
        <v>1934</v>
      </c>
      <c r="X844">
        <v>1</v>
      </c>
      <c r="Y844" s="5"/>
      <c r="AA844">
        <v>1</v>
      </c>
      <c r="AC844" s="5"/>
      <c r="AD844">
        <v>2</v>
      </c>
      <c r="AE844" t="s">
        <v>2308</v>
      </c>
    </row>
    <row r="845" spans="1:31" hidden="1" x14ac:dyDescent="0.25">
      <c r="A845">
        <v>819</v>
      </c>
      <c r="C845" t="s">
        <v>1808</v>
      </c>
      <c r="D845" t="s">
        <v>19</v>
      </c>
      <c r="E845" t="s">
        <v>29</v>
      </c>
      <c r="F845">
        <v>2936.4430000000002</v>
      </c>
      <c r="G845">
        <v>2945.027</v>
      </c>
      <c r="H845" s="3" t="s">
        <v>1817</v>
      </c>
      <c r="I845" t="s">
        <v>1932</v>
      </c>
      <c r="J845" t="s">
        <v>1952</v>
      </c>
      <c r="U845" t="s">
        <v>1818</v>
      </c>
    </row>
    <row r="846" spans="1:31" hidden="1" x14ac:dyDescent="0.25">
      <c r="A846">
        <v>843</v>
      </c>
      <c r="C846" t="s">
        <v>1808</v>
      </c>
      <c r="D846" t="s">
        <v>47</v>
      </c>
      <c r="E846" t="s">
        <v>97</v>
      </c>
      <c r="F846">
        <v>3114.96</v>
      </c>
      <c r="G846">
        <v>3123.6970000000001</v>
      </c>
      <c r="H846" s="3" t="s">
        <v>1873</v>
      </c>
      <c r="I846" t="s">
        <v>1932</v>
      </c>
      <c r="J846" t="s">
        <v>1939</v>
      </c>
      <c r="U846" t="s">
        <v>1874</v>
      </c>
    </row>
    <row r="847" spans="1:31" hidden="1" x14ac:dyDescent="0.25">
      <c r="A847">
        <v>828</v>
      </c>
      <c r="C847" t="s">
        <v>1808</v>
      </c>
      <c r="D847" t="s">
        <v>118</v>
      </c>
      <c r="E847" t="s">
        <v>41</v>
      </c>
      <c r="F847">
        <v>3395.4630000000002</v>
      </c>
      <c r="G847">
        <v>3405.84</v>
      </c>
      <c r="H847" s="3" t="s">
        <v>1837</v>
      </c>
      <c r="I847" t="s">
        <v>1932</v>
      </c>
      <c r="J847" t="s">
        <v>1961</v>
      </c>
      <c r="U847" t="s">
        <v>1838</v>
      </c>
    </row>
    <row r="848" spans="1:31" hidden="1" x14ac:dyDescent="0.25">
      <c r="A848">
        <v>844</v>
      </c>
      <c r="C848" t="s">
        <v>1808</v>
      </c>
      <c r="D848" t="s">
        <v>47</v>
      </c>
      <c r="E848" t="s">
        <v>100</v>
      </c>
      <c r="F848">
        <v>3504.2080000000001</v>
      </c>
      <c r="G848">
        <v>3514.491</v>
      </c>
      <c r="H848" s="3" t="s">
        <v>1875</v>
      </c>
      <c r="I848" t="s">
        <v>1932</v>
      </c>
      <c r="J848" t="s">
        <v>2125</v>
      </c>
      <c r="U848" t="s">
        <v>1876</v>
      </c>
    </row>
    <row r="849" spans="1:31" hidden="1" x14ac:dyDescent="0.25">
      <c r="A849">
        <v>846</v>
      </c>
      <c r="C849" t="s">
        <v>1808</v>
      </c>
      <c r="D849" t="s">
        <v>47</v>
      </c>
      <c r="E849" t="s">
        <v>106</v>
      </c>
      <c r="F849">
        <v>3675.951</v>
      </c>
      <c r="G849">
        <v>3684.5129999999999</v>
      </c>
      <c r="H849" s="3" t="s">
        <v>1879</v>
      </c>
      <c r="I849" t="s">
        <v>1932</v>
      </c>
      <c r="J849" t="s">
        <v>2101</v>
      </c>
      <c r="U849" t="s">
        <v>1880</v>
      </c>
    </row>
    <row r="850" spans="1:31" hidden="1" x14ac:dyDescent="0.25">
      <c r="A850">
        <v>820</v>
      </c>
      <c r="C850" t="s">
        <v>1808</v>
      </c>
      <c r="D850" t="s">
        <v>19</v>
      </c>
      <c r="E850" t="s">
        <v>32</v>
      </c>
      <c r="F850">
        <v>3686.424</v>
      </c>
      <c r="G850">
        <v>3696.5610000000001</v>
      </c>
      <c r="H850" s="3" t="s">
        <v>1819</v>
      </c>
      <c r="I850" t="s">
        <v>1932</v>
      </c>
      <c r="J850" t="s">
        <v>1943</v>
      </c>
      <c r="U850" t="s">
        <v>1820</v>
      </c>
    </row>
    <row r="851" spans="1:31" hidden="1" x14ac:dyDescent="0.25">
      <c r="A851">
        <v>861</v>
      </c>
      <c r="C851" t="s">
        <v>1881</v>
      </c>
      <c r="D851" t="s">
        <v>118</v>
      </c>
      <c r="E851" t="s">
        <v>23</v>
      </c>
      <c r="F851">
        <v>1264.4269999999999</v>
      </c>
      <c r="G851">
        <v>1274.0139999999999</v>
      </c>
      <c r="H851" s="3" t="s">
        <v>1911</v>
      </c>
      <c r="I851" t="s">
        <v>1934</v>
      </c>
      <c r="J851" t="s">
        <v>2122</v>
      </c>
      <c r="L851" t="s">
        <v>1932</v>
      </c>
      <c r="M851" t="s">
        <v>1934</v>
      </c>
      <c r="N851" t="s">
        <v>1932</v>
      </c>
      <c r="O851" t="s">
        <v>1942</v>
      </c>
      <c r="P851" t="s">
        <v>1932</v>
      </c>
      <c r="Q851">
        <v>2</v>
      </c>
      <c r="T851" t="s">
        <v>2121</v>
      </c>
      <c r="U851" t="s">
        <v>1912</v>
      </c>
    </row>
    <row r="852" spans="1:31" hidden="1" x14ac:dyDescent="0.25">
      <c r="A852">
        <v>848</v>
      </c>
      <c r="C852" t="s">
        <v>1881</v>
      </c>
      <c r="D852" t="s">
        <v>19</v>
      </c>
      <c r="E852" t="s">
        <v>23</v>
      </c>
      <c r="F852">
        <v>366.363</v>
      </c>
      <c r="G852">
        <v>376.06799999999998</v>
      </c>
      <c r="H852" s="3" t="s">
        <v>1885</v>
      </c>
      <c r="I852" t="s">
        <v>1932</v>
      </c>
      <c r="J852" t="s">
        <v>2054</v>
      </c>
      <c r="L852" t="s">
        <v>2012</v>
      </c>
      <c r="M852" t="s">
        <v>1932</v>
      </c>
      <c r="N852" t="s">
        <v>1932</v>
      </c>
      <c r="O852" t="s">
        <v>1955</v>
      </c>
      <c r="P852" t="s">
        <v>1932</v>
      </c>
      <c r="Q852">
        <v>3</v>
      </c>
      <c r="T852" t="s">
        <v>2146</v>
      </c>
      <c r="U852" t="s">
        <v>1886</v>
      </c>
    </row>
    <row r="853" spans="1:31" hidden="1" x14ac:dyDescent="0.25">
      <c r="A853">
        <v>868</v>
      </c>
      <c r="C853" t="s">
        <v>1881</v>
      </c>
      <c r="D853" t="s">
        <v>47</v>
      </c>
      <c r="E853" t="s">
        <v>23</v>
      </c>
      <c r="F853">
        <v>478.40499999999997</v>
      </c>
      <c r="G853">
        <v>489.16699999999997</v>
      </c>
      <c r="H853" s="3" t="s">
        <v>1926</v>
      </c>
      <c r="I853" t="s">
        <v>1932</v>
      </c>
      <c r="J853" t="s">
        <v>1961</v>
      </c>
      <c r="U853" t="s">
        <v>1927</v>
      </c>
    </row>
    <row r="854" spans="1:31" hidden="1" x14ac:dyDescent="0.25">
      <c r="A854">
        <v>849</v>
      </c>
      <c r="C854" t="s">
        <v>1881</v>
      </c>
      <c r="D854" t="s">
        <v>19</v>
      </c>
      <c r="E854" t="s">
        <v>26</v>
      </c>
      <c r="F854">
        <v>779.69500000000005</v>
      </c>
      <c r="G854">
        <v>791.53700000000003</v>
      </c>
      <c r="H854" s="3" t="s">
        <v>1887</v>
      </c>
      <c r="I854" t="s">
        <v>1932</v>
      </c>
      <c r="J854" t="s">
        <v>2101</v>
      </c>
      <c r="U854" t="s">
        <v>1888</v>
      </c>
    </row>
    <row r="855" spans="1:31" hidden="1" x14ac:dyDescent="0.25">
      <c r="A855">
        <v>855</v>
      </c>
      <c r="B855" t="s">
        <v>2296</v>
      </c>
      <c r="C855" t="s">
        <v>1881</v>
      </c>
      <c r="D855" t="s">
        <v>19</v>
      </c>
      <c r="E855" t="s">
        <v>44</v>
      </c>
      <c r="F855">
        <v>2269.9389999999999</v>
      </c>
      <c r="G855">
        <v>2280.0729999999999</v>
      </c>
      <c r="H855" s="3" t="s">
        <v>1899</v>
      </c>
      <c r="I855" t="s">
        <v>1934</v>
      </c>
      <c r="L855" t="s">
        <v>1932</v>
      </c>
      <c r="M855" t="s">
        <v>1932</v>
      </c>
      <c r="N855" t="s">
        <v>1932</v>
      </c>
      <c r="O855" t="s">
        <v>1936</v>
      </c>
      <c r="P855" t="s">
        <v>2095</v>
      </c>
      <c r="Q855">
        <v>4</v>
      </c>
      <c r="T855" t="s">
        <v>2166</v>
      </c>
      <c r="U855" t="s">
        <v>1900</v>
      </c>
      <c r="W855" t="s">
        <v>1934</v>
      </c>
      <c r="X855">
        <v>1</v>
      </c>
      <c r="Z855" s="5"/>
      <c r="AA855">
        <v>1</v>
      </c>
      <c r="AC855" s="5"/>
      <c r="AD855">
        <v>0</v>
      </c>
      <c r="AE855" t="s">
        <v>2307</v>
      </c>
    </row>
    <row r="856" spans="1:31" hidden="1" x14ac:dyDescent="0.25">
      <c r="A856">
        <v>850</v>
      </c>
      <c r="C856" t="s">
        <v>1881</v>
      </c>
      <c r="D856" t="s">
        <v>19</v>
      </c>
      <c r="E856" t="s">
        <v>29</v>
      </c>
      <c r="F856">
        <v>856.37400000000002</v>
      </c>
      <c r="G856">
        <v>866.98099999999999</v>
      </c>
      <c r="H856" s="3" t="s">
        <v>1889</v>
      </c>
      <c r="I856" t="s">
        <v>1932</v>
      </c>
      <c r="J856" t="s">
        <v>1947</v>
      </c>
      <c r="U856" t="s">
        <v>1890</v>
      </c>
    </row>
    <row r="857" spans="1:31" hidden="1" x14ac:dyDescent="0.25">
      <c r="A857">
        <v>851</v>
      </c>
      <c r="C857" t="s">
        <v>1881</v>
      </c>
      <c r="D857" t="s">
        <v>19</v>
      </c>
      <c r="E857" t="s">
        <v>32</v>
      </c>
      <c r="F857">
        <v>875.54899999999998</v>
      </c>
      <c r="G857">
        <v>885.64800000000002</v>
      </c>
      <c r="H857" s="3" t="s">
        <v>1891</v>
      </c>
      <c r="I857" t="s">
        <v>1932</v>
      </c>
      <c r="J857" t="s">
        <v>2106</v>
      </c>
      <c r="U857" t="s">
        <v>1892</v>
      </c>
    </row>
    <row r="858" spans="1:31" hidden="1" x14ac:dyDescent="0.25">
      <c r="A858">
        <v>869</v>
      </c>
      <c r="C858" t="s">
        <v>1881</v>
      </c>
      <c r="D858" t="s">
        <v>47</v>
      </c>
      <c r="E858" t="s">
        <v>26</v>
      </c>
      <c r="F858">
        <v>954.37900000000002</v>
      </c>
      <c r="G858">
        <v>964.50599999999997</v>
      </c>
      <c r="H858" s="3" t="s">
        <v>1928</v>
      </c>
      <c r="I858" t="s">
        <v>1932</v>
      </c>
      <c r="J858" t="s">
        <v>2114</v>
      </c>
      <c r="U858" t="s">
        <v>1929</v>
      </c>
    </row>
    <row r="859" spans="1:31" hidden="1" x14ac:dyDescent="0.25">
      <c r="A859">
        <v>870</v>
      </c>
      <c r="C859" t="s">
        <v>1881</v>
      </c>
      <c r="D859" t="s">
        <v>47</v>
      </c>
      <c r="E859" t="s">
        <v>29</v>
      </c>
      <c r="F859">
        <v>1013.716</v>
      </c>
      <c r="G859">
        <v>1024.973</v>
      </c>
      <c r="H859" s="3" t="s">
        <v>1930</v>
      </c>
      <c r="I859" t="s">
        <v>1932</v>
      </c>
      <c r="J859" t="s">
        <v>2101</v>
      </c>
      <c r="U859" t="s">
        <v>1931</v>
      </c>
    </row>
    <row r="860" spans="1:31" hidden="1" x14ac:dyDescent="0.25">
      <c r="A860">
        <v>867</v>
      </c>
      <c r="C860" t="s">
        <v>1881</v>
      </c>
      <c r="D860" t="s">
        <v>47</v>
      </c>
      <c r="E860" t="s">
        <v>20</v>
      </c>
      <c r="F860">
        <v>314.52699999999999</v>
      </c>
      <c r="G860">
        <v>323.928</v>
      </c>
      <c r="H860" s="3" t="s">
        <v>1923</v>
      </c>
      <c r="I860" t="s">
        <v>1934</v>
      </c>
      <c r="L860" t="s">
        <v>1932</v>
      </c>
      <c r="M860" t="s">
        <v>1932</v>
      </c>
      <c r="N860" t="s">
        <v>1932</v>
      </c>
      <c r="O860" t="s">
        <v>1936</v>
      </c>
      <c r="P860" t="s">
        <v>1934</v>
      </c>
      <c r="Q860">
        <v>1</v>
      </c>
      <c r="T860" t="s">
        <v>2051</v>
      </c>
      <c r="U860" t="s">
        <v>1924</v>
      </c>
      <c r="V860" t="s">
        <v>1925</v>
      </c>
    </row>
    <row r="861" spans="1:31" hidden="1" x14ac:dyDescent="0.25">
      <c r="A861">
        <v>852</v>
      </c>
      <c r="C861" t="s">
        <v>1881</v>
      </c>
      <c r="D861" t="s">
        <v>19</v>
      </c>
      <c r="E861" t="s">
        <v>35</v>
      </c>
      <c r="F861">
        <v>1017.222</v>
      </c>
      <c r="G861">
        <v>1028.047</v>
      </c>
      <c r="H861" s="3" t="s">
        <v>1893</v>
      </c>
      <c r="I861" t="s">
        <v>1932</v>
      </c>
      <c r="J861" t="s">
        <v>2101</v>
      </c>
      <c r="K861">
        <v>512</v>
      </c>
      <c r="U861" t="s">
        <v>1894</v>
      </c>
    </row>
    <row r="862" spans="1:31" hidden="1" x14ac:dyDescent="0.25">
      <c r="A862">
        <v>853</v>
      </c>
      <c r="C862" t="s">
        <v>1881</v>
      </c>
      <c r="D862" t="s">
        <v>19</v>
      </c>
      <c r="E862" t="s">
        <v>38</v>
      </c>
      <c r="F862">
        <v>1500.6369999999999</v>
      </c>
      <c r="G862">
        <v>1509.2629999999999</v>
      </c>
      <c r="H862" s="3" t="s">
        <v>1895</v>
      </c>
      <c r="I862" t="s">
        <v>1932</v>
      </c>
      <c r="J862" t="s">
        <v>1943</v>
      </c>
      <c r="U862" t="s">
        <v>1896</v>
      </c>
    </row>
    <row r="863" spans="1:31" hidden="1" x14ac:dyDescent="0.25">
      <c r="A863">
        <v>863</v>
      </c>
      <c r="C863" t="s">
        <v>1881</v>
      </c>
      <c r="D863" t="s">
        <v>118</v>
      </c>
      <c r="E863" t="s">
        <v>29</v>
      </c>
      <c r="F863">
        <v>1816.6510000000001</v>
      </c>
      <c r="G863">
        <v>1827.2170000000001</v>
      </c>
      <c r="H863" s="3" t="s">
        <v>1915</v>
      </c>
      <c r="I863" t="s">
        <v>1932</v>
      </c>
      <c r="J863" t="s">
        <v>2106</v>
      </c>
      <c r="U863" t="s">
        <v>1916</v>
      </c>
    </row>
    <row r="864" spans="1:31" hidden="1" x14ac:dyDescent="0.25">
      <c r="A864">
        <v>856</v>
      </c>
      <c r="C864" t="s">
        <v>1881</v>
      </c>
      <c r="D864" t="s">
        <v>19</v>
      </c>
      <c r="E864" t="s">
        <v>85</v>
      </c>
      <c r="F864">
        <v>2688.45</v>
      </c>
      <c r="G864">
        <v>2697.29</v>
      </c>
      <c r="H864" s="3" t="s">
        <v>1901</v>
      </c>
      <c r="I864" t="s">
        <v>1932</v>
      </c>
      <c r="J864" t="s">
        <v>1933</v>
      </c>
      <c r="U864" t="s">
        <v>1902</v>
      </c>
    </row>
    <row r="865" spans="1:21" hidden="1" x14ac:dyDescent="0.25">
      <c r="A865">
        <v>857</v>
      </c>
      <c r="C865" t="s">
        <v>1881</v>
      </c>
      <c r="D865" t="s">
        <v>19</v>
      </c>
      <c r="E865" t="s">
        <v>88</v>
      </c>
      <c r="F865">
        <v>2736.3209999999999</v>
      </c>
      <c r="G865">
        <v>2745.4989999999998</v>
      </c>
      <c r="H865" s="3" t="s">
        <v>1903</v>
      </c>
      <c r="I865" t="s">
        <v>1932</v>
      </c>
      <c r="J865" t="s">
        <v>2101</v>
      </c>
      <c r="U865" t="s">
        <v>1904</v>
      </c>
    </row>
    <row r="866" spans="1:21" hidden="1" x14ac:dyDescent="0.25">
      <c r="A866">
        <v>858</v>
      </c>
      <c r="C866" t="s">
        <v>1881</v>
      </c>
      <c r="D866" t="s">
        <v>19</v>
      </c>
      <c r="E866" t="s">
        <v>91</v>
      </c>
      <c r="F866">
        <v>2844.317</v>
      </c>
      <c r="G866">
        <v>2855.241</v>
      </c>
      <c r="H866" s="3" t="s">
        <v>1905</v>
      </c>
      <c r="I866" t="s">
        <v>1932</v>
      </c>
      <c r="J866" t="s">
        <v>1939</v>
      </c>
      <c r="U866" t="s">
        <v>1906</v>
      </c>
    </row>
    <row r="867" spans="1:21" hidden="1" x14ac:dyDescent="0.25">
      <c r="A867">
        <v>864</v>
      </c>
      <c r="C867" t="s">
        <v>1881</v>
      </c>
      <c r="D867" t="s">
        <v>118</v>
      </c>
      <c r="E867" t="s">
        <v>32</v>
      </c>
      <c r="F867">
        <v>3187.1480000000001</v>
      </c>
      <c r="G867">
        <v>3197.9850000000001</v>
      </c>
      <c r="H867" s="3" t="s">
        <v>1917</v>
      </c>
      <c r="I867" t="s">
        <v>1932</v>
      </c>
      <c r="J867" t="s">
        <v>1943</v>
      </c>
      <c r="U867" t="s">
        <v>1918</v>
      </c>
    </row>
    <row r="868" spans="1:21" hidden="1" x14ac:dyDescent="0.25">
      <c r="A868">
        <v>859</v>
      </c>
      <c r="C868" t="s">
        <v>1881</v>
      </c>
      <c r="D868" t="s">
        <v>19</v>
      </c>
      <c r="E868" t="s">
        <v>94</v>
      </c>
      <c r="F868">
        <v>3268.7849999999999</v>
      </c>
      <c r="G868">
        <v>3280.0430000000001</v>
      </c>
      <c r="H868" s="3" t="s">
        <v>1907</v>
      </c>
      <c r="I868" t="s">
        <v>1932</v>
      </c>
      <c r="S868" t="s">
        <v>2212</v>
      </c>
      <c r="U868" t="s">
        <v>1908</v>
      </c>
    </row>
    <row r="869" spans="1:21" hidden="1" x14ac:dyDescent="0.25">
      <c r="A869">
        <v>865</v>
      </c>
      <c r="C869" t="s">
        <v>1881</v>
      </c>
      <c r="D869" t="s">
        <v>118</v>
      </c>
      <c r="E869" t="s">
        <v>35</v>
      </c>
      <c r="F869">
        <v>3320.154</v>
      </c>
      <c r="G869">
        <v>3330.076</v>
      </c>
      <c r="H869" s="3" t="s">
        <v>1919</v>
      </c>
      <c r="I869" t="s">
        <v>1932</v>
      </c>
      <c r="J869" t="s">
        <v>1952</v>
      </c>
      <c r="U869" t="s">
        <v>1920</v>
      </c>
    </row>
    <row r="870" spans="1:21" hidden="1" x14ac:dyDescent="0.25">
      <c r="A870">
        <v>860</v>
      </c>
      <c r="C870" t="s">
        <v>1881</v>
      </c>
      <c r="D870" t="s">
        <v>118</v>
      </c>
      <c r="E870" t="s">
        <v>20</v>
      </c>
      <c r="F870">
        <v>861.03399999999999</v>
      </c>
      <c r="G870">
        <v>872.10400000000004</v>
      </c>
      <c r="H870" s="3" t="s">
        <v>1909</v>
      </c>
      <c r="I870" t="s">
        <v>1932</v>
      </c>
      <c r="J870" t="s">
        <v>2106</v>
      </c>
      <c r="L870" t="s">
        <v>1932</v>
      </c>
      <c r="M870" t="s">
        <v>1932</v>
      </c>
      <c r="N870" t="s">
        <v>1932</v>
      </c>
      <c r="O870" t="s">
        <v>1936</v>
      </c>
      <c r="P870" t="s">
        <v>2095</v>
      </c>
      <c r="Q870">
        <v>4</v>
      </c>
      <c r="T870" t="s">
        <v>2115</v>
      </c>
      <c r="U870" t="s">
        <v>1910</v>
      </c>
    </row>
    <row r="871" spans="1:21" hidden="1" x14ac:dyDescent="0.25">
      <c r="A871">
        <v>866</v>
      </c>
      <c r="C871" t="s">
        <v>1881</v>
      </c>
      <c r="D871" t="s">
        <v>118</v>
      </c>
      <c r="E871" t="s">
        <v>38</v>
      </c>
      <c r="F871">
        <v>3749.2689999999998</v>
      </c>
      <c r="G871">
        <v>3758.1590000000001</v>
      </c>
      <c r="H871" s="3" t="s">
        <v>1921</v>
      </c>
      <c r="I871" t="s">
        <v>1932</v>
      </c>
      <c r="J871" t="s">
        <v>2101</v>
      </c>
      <c r="U871" t="s">
        <v>1922</v>
      </c>
    </row>
  </sheetData>
  <hyperlinks>
    <hyperlink ref="H517" r:id="rId1" xr:uid="{183A9BBA-0B16-471C-9E1E-04AB8ECD9692}"/>
    <hyperlink ref="H654" r:id="rId2" xr:uid="{E3BF445C-AE83-4305-B377-81A6A9B1535E}"/>
    <hyperlink ref="H28" r:id="rId3" xr:uid="{4296C0C3-E3A9-4CAD-B7CC-69F0ACFD0CD1}"/>
    <hyperlink ref="H337" r:id="rId4" xr:uid="{F6D9DEFD-ED24-45D1-A466-EFA44D6DCA0A}"/>
    <hyperlink ref="H419" r:id="rId5" xr:uid="{0FB0DC9F-C9C5-411C-BEAC-BE4AA19B74E8}"/>
    <hyperlink ref="H404" r:id="rId6" xr:uid="{E7677316-7506-412E-8760-15B9AAFA99E4}"/>
    <hyperlink ref="H338" r:id="rId7" xr:uid="{71437BD5-4FF6-4FDC-A3F0-9D718F84EB1E}"/>
    <hyperlink ref="H355" r:id="rId8" xr:uid="{19B357D3-9912-4871-921B-93EAA9586B5B}"/>
    <hyperlink ref="H792" r:id="rId9" xr:uid="{A94E929B-7456-4468-85DB-1FA740547EE1}"/>
    <hyperlink ref="H804" r:id="rId10" xr:uid="{47C5937D-661B-481A-ADA4-F85E87DCCE06}"/>
    <hyperlink ref="H418" r:id="rId11" xr:uid="{56DC3C88-E536-4F82-9D04-0A969F847BC9}"/>
    <hyperlink ref="H678" r:id="rId12" xr:uid="{1B35D47B-AFB6-4A65-8B5A-60A74D4A8F18}"/>
    <hyperlink ref="H386" r:id="rId13" xr:uid="{E9AA1445-0679-4F2C-8114-620A9EDF1A24}"/>
    <hyperlink ref="H740" r:id="rId14" xr:uid="{437DC3D8-4398-4DB1-8928-9133DFD90F9B}"/>
    <hyperlink ref="H635" r:id="rId15" xr:uid="{70BF7257-D053-40A9-8213-FD84464D9985}"/>
    <hyperlink ref="H748" r:id="rId16" xr:uid="{F59C194E-586A-49A9-8BB6-96843F72936D}"/>
    <hyperlink ref="H836" r:id="rId17" xr:uid="{8F23E67C-FA5D-411D-A7FB-8A259D1BEB6E}"/>
    <hyperlink ref="H394" r:id="rId18" xr:uid="{892BF74C-1EA0-46F2-9E15-27D8F46AF7C8}"/>
    <hyperlink ref="H395" r:id="rId19" xr:uid="{4931E5E3-5D18-45A5-A68C-AF757429BAD9}"/>
    <hyperlink ref="H457" r:id="rId20" xr:uid="{15FB47AF-EA9B-4528-AB70-4613E02E4F73}"/>
    <hyperlink ref="H458" r:id="rId21" xr:uid="{24F79EB0-4BA7-4653-A7E3-407159D340C2}"/>
    <hyperlink ref="H548" r:id="rId22" xr:uid="{11841B02-57C7-4CBE-A8DE-DEF14070FE98}"/>
    <hyperlink ref="H244" r:id="rId23" xr:uid="{C4DC9D86-2416-4DBA-A9AA-6D50A04DBA83}"/>
    <hyperlink ref="H379" r:id="rId24" xr:uid="{A5743A63-186A-452A-95DA-B5CCD44C3DE0}"/>
    <hyperlink ref="H390" r:id="rId25" xr:uid="{43F9DEC7-73E6-4D0A-88D9-39ED6F97F88E}"/>
    <hyperlink ref="H354" r:id="rId26" xr:uid="{77F2CD2B-4308-4895-B583-B9610D7444C3}"/>
    <hyperlink ref="H526" r:id="rId27" xr:uid="{40C8E127-CC8F-4313-9867-57278808657F}"/>
    <hyperlink ref="H362" r:id="rId28" xr:uid="{020FDA43-BEE3-4B49-A5AD-CAFD4C9DE912}"/>
    <hyperlink ref="H30" r:id="rId29" xr:uid="{3AFCD622-6701-4928-ADF9-1A690115EA96}"/>
    <hyperlink ref="H393" r:id="rId30" xr:uid="{2CC56CB0-E136-4F4A-BC2F-C92319ACCAB7}"/>
    <hyperlink ref="H751" r:id="rId31" xr:uid="{B6BCEA42-5F46-48EB-B86E-35D9F7C66175}"/>
    <hyperlink ref="H833" r:id="rId32" xr:uid="{5B9B1C3C-3714-4E0E-8B10-D27FD5C871F4}"/>
    <hyperlink ref="H339" r:id="rId33" xr:uid="{D38D5A9E-C337-4F33-B737-CB064676BDFB}"/>
    <hyperlink ref="H349" r:id="rId34" xr:uid="{1EEFCB4D-C7E1-4B5A-86FA-5339CA8304F1}"/>
    <hyperlink ref="H368" r:id="rId35" xr:uid="{DC03709D-D041-470D-BC2E-5AD030EF823D}"/>
    <hyperlink ref="H413" r:id="rId36" xr:uid="{0B8D8FAB-A913-45D0-B149-AA75279B39C6}"/>
    <hyperlink ref="H832" r:id="rId37" xr:uid="{7351CEE4-83E2-4171-84C3-15F5AB3503D3}"/>
    <hyperlink ref="H76" r:id="rId38" xr:uid="{AF4E9B05-9B08-4CB2-B392-4C9049FE272C}"/>
    <hyperlink ref="H341" r:id="rId39" xr:uid="{B13503AF-6593-4F33-A87E-672EABEB4C09}"/>
    <hyperlink ref="H44" r:id="rId40" xr:uid="{EFEB12A6-363C-446B-A416-7CB0800A37EC}"/>
    <hyperlink ref="H350" r:id="rId41" xr:uid="{32ED280A-DC46-4B72-9713-89A95F7B9792}"/>
    <hyperlink ref="H421" r:id="rId42" xr:uid="{46959573-6E6C-40CC-96F0-94AA85C93552}"/>
    <hyperlink ref="H10" r:id="rId43" xr:uid="{888A09C4-0C28-4A1B-BF99-FC1F8E9E5B84}"/>
    <hyperlink ref="H351" r:id="rId44" xr:uid="{AE0DE4A6-7858-4EE9-AF8C-98F64D7D36AB}"/>
    <hyperlink ref="H58" r:id="rId45" xr:uid="{8462F469-9990-4E0C-93BD-AA04DDB5C37C}"/>
    <hyperlink ref="H347" r:id="rId46" xr:uid="{48AF9505-C2D0-4FEC-AF57-C7176DCF0CE7}"/>
    <hyperlink ref="H414" r:id="rId47" xr:uid="{2AF80D4F-924A-47C6-A9F9-52EC553CB1BA}"/>
    <hyperlink ref="H65" r:id="rId48" xr:uid="{785BA4C4-3A92-4C75-9EB2-45C1BF8C3189}"/>
    <hyperlink ref="H70" r:id="rId49" xr:uid="{29CC28E8-2AB2-4568-A763-6E28C7C8044F}"/>
    <hyperlink ref="H6" r:id="rId50" xr:uid="{B08D87AF-7A7A-45CB-BF97-FF820EA9C539}"/>
    <hyperlink ref="H624" r:id="rId51" xr:uid="{4F13C7F8-AB9F-4F19-9233-73418BEECF6A}"/>
    <hyperlink ref="H547" r:id="rId52" xr:uid="{B43A8D88-E481-4A75-A425-9F492579333E}"/>
    <hyperlink ref="H416" r:id="rId53" xr:uid="{4C43CFED-F058-4A14-B2D2-B8A2ECAC1C25}"/>
    <hyperlink ref="H625" r:id="rId54" xr:uid="{6651109E-AF77-46AA-B836-58F1EE2111E1}"/>
    <hyperlink ref="H53" r:id="rId55" xr:uid="{E7D50C20-3C99-4BDF-BEB4-C53A7A8E982D}"/>
    <hyperlink ref="H83" r:id="rId56" xr:uid="{68F6A186-E19D-4DD8-90D6-C9CA483CB38C}"/>
    <hyperlink ref="H334" r:id="rId57" xr:uid="{575A3758-72E7-4B1C-B38C-10B2C238A841}"/>
    <hyperlink ref="H94" r:id="rId58" xr:uid="{90023EA2-FB2D-45D2-830D-F49035110608}"/>
    <hyperlink ref="H45" r:id="rId59" xr:uid="{48F0A391-1EC5-4663-ACB1-5BEB709B63D2}"/>
    <hyperlink ref="H335" r:id="rId60" xr:uid="{9D03378B-324A-49C2-A384-AE6D4D1EC7AC}"/>
    <hyperlink ref="H626" r:id="rId61" xr:uid="{D70A618E-0618-4C25-9195-B096BAF7297C}"/>
    <hyperlink ref="H97" r:id="rId62" xr:uid="{4E26DEA5-78E0-4633-B27E-7A4B1FE13EF5}"/>
    <hyperlink ref="H403" r:id="rId63" xr:uid="{B1EEACB7-6FCF-44D6-BE83-9F5CD333C458}"/>
    <hyperlink ref="H348" r:id="rId64" xr:uid="{B3675C06-2160-4BCC-B421-0AC517601463}"/>
    <hyperlink ref="H342" r:id="rId65" xr:uid="{143A3005-59A4-482D-871E-BCA7186FE0D3}"/>
    <hyperlink ref="H346" r:id="rId66" xr:uid="{5E0D6FE6-F0F8-4E5A-80A6-2CC75B943318}"/>
    <hyperlink ref="H344" r:id="rId67" xr:uid="{12DA8C4E-2AF6-497B-A522-58532F586BFB}"/>
    <hyperlink ref="H104" r:id="rId68" xr:uid="{34CE7055-E2A5-4038-BD97-9AD4B2AC5D8A}"/>
    <hyperlink ref="H417" r:id="rId69" xr:uid="{4D050749-95EB-4888-8AB6-48290B442EF4}"/>
    <hyperlink ref="H332" r:id="rId70" xr:uid="{BD792F7D-5E9D-4E2B-B8EC-4BC05A1E0C2D}"/>
    <hyperlink ref="H333" r:id="rId71" xr:uid="{61083320-16A7-47F5-A1E9-69F83DBBF3C9}"/>
    <hyperlink ref="H336" r:id="rId72" xr:uid="{3398AB4B-33F5-4989-9867-FD0995DE6D9A}"/>
    <hyperlink ref="H4" r:id="rId73" xr:uid="{A4F40E0F-5384-48A1-807A-646A7FBFA282}"/>
    <hyperlink ref="H251" r:id="rId74" xr:uid="{C00707B0-C030-4803-B84E-9923007B5182}"/>
    <hyperlink ref="H252" r:id="rId75" xr:uid="{33A18728-C4DB-4DA4-8F48-611550ABA145}"/>
    <hyperlink ref="H131" r:id="rId76" xr:uid="{97D96A64-7CAE-40FA-A552-4087ED0799F5}"/>
    <hyperlink ref="H777" r:id="rId77" xr:uid="{6CA0B482-893B-46DF-8D83-D755BF7857EA}"/>
    <hyperlink ref="H778" r:id="rId78" xr:uid="{9B102E6A-23CD-49A8-93E6-259F95EC68B7}"/>
    <hyperlink ref="H240" r:id="rId79" xr:uid="{5A6B6C9E-3A61-47B2-BB3E-7F578435E88F}"/>
    <hyperlink ref="H357" r:id="rId80" xr:uid="{A6A010FC-1D93-442F-891F-FEDD44A0C054}"/>
    <hyperlink ref="H831" r:id="rId81" xr:uid="{B8B1BCB5-5F25-4D95-91F1-7CCEF8E08480}"/>
    <hyperlink ref="H694" r:id="rId82" xr:uid="{F900BBE4-8AA1-4875-A6C8-65F4D3349BE5}"/>
    <hyperlink ref="H164" r:id="rId83" xr:uid="{D26B41BD-F9BF-4388-A04C-14A5F1D41D19}"/>
    <hyperlink ref="H253" r:id="rId84" xr:uid="{184B548E-4CFF-4403-83C2-3FDD6F7EEF0E}"/>
    <hyperlink ref="H147" r:id="rId85" xr:uid="{B957A82B-2C4E-4AEB-B118-F09DF8AE11A7}"/>
    <hyperlink ref="H781" r:id="rId86" xr:uid="{063FE2DE-63A5-4A1B-A7B3-3C596F0ABB3B}"/>
    <hyperlink ref="H666" r:id="rId87" xr:uid="{D41D737A-A290-4F59-8D8D-76540E4753B7}"/>
    <hyperlink ref="H629" r:id="rId88" xr:uid="{DD6E8294-2CA2-4410-BB3E-2408D9A23527}"/>
    <hyperlink ref="H782" r:id="rId89" xr:uid="{AE84ECC9-AA09-444A-BAB4-DECE55105D12}"/>
    <hyperlink ref="H254" r:id="rId90" xr:uid="{0145A6E0-6853-47CA-9E39-C26EE0F7EBE0}"/>
    <hyperlink ref="H166" r:id="rId91" xr:uid="{FF25FEA5-B21A-49B1-B760-74C639617417}"/>
    <hyperlink ref="H828" r:id="rId92" xr:uid="{06CC8CF2-E1E3-41D7-8416-989B3F329F88}"/>
    <hyperlink ref="H167" r:id="rId93" xr:uid="{18A98725-6436-4624-8350-2B7837AB93DD}"/>
    <hyperlink ref="H633" r:id="rId94" xr:uid="{1F648297-31D8-41E3-9047-924315BACDF0}"/>
    <hyperlink ref="H667" r:id="rId95" xr:uid="{8088F510-7F34-4E36-B44D-F2C18218F272}"/>
    <hyperlink ref="H453" r:id="rId96" xr:uid="{DF4F1EA8-B778-43A4-A87B-4C8D9F678C24}"/>
    <hyperlink ref="H454" r:id="rId97" xr:uid="{FCF2DB45-DA5A-45BA-8824-CAE4ABF55900}"/>
    <hyperlink ref="H455" r:id="rId98" xr:uid="{0DB748F9-0C74-4B65-ABD0-C64CFFD22596}"/>
    <hyperlink ref="H241" r:id="rId99" xr:uid="{50D60E5A-C637-4138-B83A-310089F127A1}"/>
    <hyperlink ref="H168" r:id="rId100" xr:uid="{5A516029-2AB6-475F-A7E4-6FAD6B231AA1}"/>
    <hyperlink ref="H220" r:id="rId101" xr:uid="{E78735BB-DAEA-4807-9748-6522530BDBCC}"/>
    <hyperlink ref="H169" r:id="rId102" xr:uid="{20E341C2-8BF3-4C3B-BB86-DEA7A0519196}"/>
    <hyperlink ref="H830" r:id="rId103" xr:uid="{1547E1A1-48EA-4791-A7CA-3081541EDA64}"/>
    <hyperlink ref="H242" r:id="rId104" xr:uid="{04D89FE2-5131-4FFC-BBAC-6E6EA58B42B8}"/>
    <hyperlink ref="H464" r:id="rId105" xr:uid="{320876FE-62C4-4373-A848-442EE9C1FD51}"/>
    <hyperlink ref="H779" r:id="rId106" xr:uid="{5ADF7518-FF03-4D17-B637-812B4C9CFEB0}"/>
    <hyperlink ref="H780" r:id="rId107" xr:uid="{DDC0ECAF-A7E8-4AFC-9CBE-365D1555EADD}"/>
    <hyperlink ref="H538" r:id="rId108" xr:uid="{C0B109C6-4606-4672-B05B-C29CADEC4841}"/>
    <hyperlink ref="H255" r:id="rId109" xr:uid="{0E614A61-0217-406C-AB03-013753694AA6}"/>
    <hyperlink ref="H539" r:id="rId110" xr:uid="{5D4AC2A4-F8E5-488E-AE00-8A8178F436D6}"/>
    <hyperlink ref="H465" r:id="rId111" xr:uid="{BBD681B3-2074-462A-893A-40A3010A0C00}"/>
    <hyperlink ref="H540" r:id="rId112" xr:uid="{7D89E6BD-4FF9-4FAA-B749-F262D6703776}"/>
    <hyperlink ref="H243" r:id="rId113" xr:uid="{2F34C135-1415-4AE1-B550-18D49AA12FDE}"/>
    <hyperlink ref="H805" r:id="rId114" xr:uid="{9CC26BAC-1545-43C4-8024-D8A585F7097D}"/>
    <hyperlink ref="H729" r:id="rId115" xr:uid="{48653B3F-DB40-417C-A8A1-C8A3357A22BD}"/>
    <hyperlink ref="H378" r:id="rId116" xr:uid="{981613B7-3942-4918-ADDB-7DD52328B040}"/>
    <hyperlink ref="H860" r:id="rId117" xr:uid="{4F6D5C1B-553D-4E17-B2B6-E86E1DBF9057}"/>
    <hyperlink ref="H148" r:id="rId118" xr:uid="{CDF6C8EA-6F04-4087-A636-AFF5A5043666}"/>
    <hyperlink ref="H470" r:id="rId119" xr:uid="{1D9CB0F5-0A1F-4CC7-9727-01FB5738CFA2}"/>
    <hyperlink ref="H221" r:id="rId120" xr:uid="{1AA8575E-F4A5-43CC-9D81-2A1B4D504A6B}"/>
    <hyperlink ref="H771" r:id="rId121" xr:uid="{9DD560FB-0A0D-4718-9597-9D259C92911E}"/>
    <hyperlink ref="H222" r:id="rId122" xr:uid="{70DD8AB8-C83A-4D01-93A3-14D26F265284}"/>
    <hyperlink ref="H7" r:id="rId123" xr:uid="{FA922FC7-07FA-47D2-9098-4841F32A680D}"/>
    <hyperlink ref="H711" r:id="rId124" xr:uid="{68723864-5284-410D-9814-335A6A6E6858}"/>
    <hyperlink ref="H852" r:id="rId125" xr:uid="{87C73127-01E5-42D4-9F49-858BFFBCA227}"/>
    <hyperlink ref="H731" r:id="rId126" xr:uid="{C3A65411-EEF1-4C01-9CE2-181ECCA4860A}"/>
    <hyperlink ref="H712" r:id="rId127" xr:uid="{A7D47E0F-763F-4EF6-BA6A-7A796D83749F}"/>
    <hyperlink ref="H340" r:id="rId128" xr:uid="{BF52A2D2-3C02-426E-B17F-D9F0D8CF07A7}"/>
    <hyperlink ref="H170" r:id="rId129" xr:uid="{CA458E42-F403-4FDB-95BD-0A41305CCE61}"/>
    <hyperlink ref="H578" r:id="rId130" xr:uid="{7BA8817A-F879-433F-A8A1-81DA7A721BC0}"/>
    <hyperlink ref="H471" r:id="rId131" xr:uid="{A2B6EC55-1A06-4917-BE1F-202F5B8C1CD3}"/>
    <hyperlink ref="H171" r:id="rId132" xr:uid="{AE8CE3AD-0D08-4373-B478-873402EB3EA3}"/>
    <hyperlink ref="H217" r:id="rId133" xr:uid="{803DA1DE-7DC7-4699-8F1F-6AAA55790744}"/>
    <hyperlink ref="H257" r:id="rId134" xr:uid="{4E953C33-199F-4E98-ABE5-E1F626021B71}"/>
    <hyperlink ref="H472" r:id="rId135" xr:uid="{F93C99AA-4262-498E-9C0F-7CD1CC5F31EE}"/>
    <hyperlink ref="H8" r:id="rId136" xr:uid="{4FFE6483-E0E1-4704-B9C8-2C096FDAECD0}"/>
    <hyperlink ref="H172" r:id="rId137" xr:uid="{67B1F9E1-B983-45CE-A07C-4E7E5EDAC5BA}"/>
    <hyperlink ref="H223" r:id="rId138" xr:uid="{484A05BA-50DB-43A7-8227-474759033F4C}"/>
    <hyperlink ref="H605" r:id="rId139" xr:uid="{6642571E-1E7A-4D0D-8AD6-82DD0827A5DB}"/>
    <hyperlink ref="H120" r:id="rId140" xr:uid="{A93C1240-220A-4919-8C8B-894A50C0145F}"/>
    <hyperlink ref="H606" r:id="rId141" xr:uid="{B6CF0851-0602-48D0-B884-BCD149F0BB3D}"/>
    <hyperlink ref="H762" r:id="rId142" xr:uid="{821C45E4-A518-49B2-94D9-EFAA0A27B6E3}"/>
    <hyperlink ref="H797" r:id="rId143" xr:uid="{BA3D5FDC-440A-4EE2-823F-AB24F155E3AD}"/>
    <hyperlink ref="H783" r:id="rId144" xr:uid="{B7633361-59D0-4153-8502-E1835DAAB228}"/>
    <hyperlink ref="H121" r:id="rId145" xr:uid="{0F52891D-1879-4A2E-ADDA-C385D850F92F}"/>
    <hyperlink ref="H589" r:id="rId146" xr:uid="{AD19788F-3452-4821-89D2-8B40DE2286C5}"/>
    <hyperlink ref="H122" r:id="rId147" xr:uid="{6B7B1782-D141-4B0E-AA0A-A60EBD7ACADE}"/>
    <hyperlink ref="H258" r:id="rId148" xr:uid="{C406E5EF-55A9-4D76-B59C-EC7B67A9582E}"/>
    <hyperlink ref="H380" r:id="rId149" xr:uid="{3D513CBB-F586-45CC-B323-D0E8519F66C1}"/>
    <hyperlink ref="H406" r:id="rId150" xr:uid="{A3E61163-C4C7-4C14-BD51-D63364F711D3}"/>
    <hyperlink ref="H173" r:id="rId151" xr:uid="{FCAC2C72-C9C1-451D-A4B9-26DBD14F3557}"/>
    <hyperlink ref="H246" r:id="rId152" xr:uid="{C45C4A6C-2B8A-40A9-A67D-48017D56150F}"/>
    <hyperlink ref="H174" r:id="rId153" xr:uid="{9BCC97C1-641F-41ED-B0A1-CC82F26DB1BA}"/>
    <hyperlink ref="H387" r:id="rId154" xr:uid="{B3728C18-06FD-4019-B2F2-27EC549DDEEF}"/>
    <hyperlink ref="H165" r:id="rId155" xr:uid="{02DF983D-1BF5-4D7B-8317-9A0F69935087}"/>
    <hyperlink ref="H798" r:id="rId156" xr:uid="{BBB153C6-BFE4-4656-8F26-83004829F398}"/>
    <hyperlink ref="H752" r:id="rId157" xr:uid="{94FEDB2A-4807-4FED-A63A-D27EEF286BFC}"/>
    <hyperlink ref="H382" r:id="rId158" xr:uid="{E3BBE080-7D8D-4370-9A94-E99A44EEF06D}"/>
    <hyperlink ref="H372" r:id="rId159" xr:uid="{DA63544B-BC6F-4BF7-8F51-3575998651A0}"/>
    <hyperlink ref="H853" r:id="rId160" xr:uid="{06393029-DA21-4310-A59A-D2D26D89CCF5}"/>
    <hyperlink ref="H175" r:id="rId161" xr:uid="{E779B1BD-B824-48BD-8870-12437AD9AE34}"/>
    <hyperlink ref="H123" r:id="rId162" xr:uid="{0B1160B0-519B-438E-AE86-6CE888046215}"/>
    <hyperlink ref="H176" r:id="rId163" xr:uid="{2BBA3246-B6BB-4B68-9910-FDDDD97C605D}"/>
    <hyperlink ref="H2" r:id="rId164" xr:uid="{D26A4D8D-50D2-44C4-AFB1-E8992E36B4C9}"/>
    <hyperlink ref="H177" r:id="rId165" xr:uid="{3BF981C3-AE3A-48F7-8DA2-94D81FE92F57}"/>
    <hyperlink ref="H411" r:id="rId166" xr:uid="{9EDC8063-059D-4C88-AB73-B758FDF51C56}"/>
    <hyperlink ref="H473" r:id="rId167" xr:uid="{CE9ED9BE-BFCE-4164-BC7A-23E305041414}"/>
    <hyperlink ref="H178" r:id="rId168" xr:uid="{9B2AFF6E-3227-4C60-BA58-C16A08E7148B}"/>
    <hyperlink ref="H799" r:id="rId169" xr:uid="{4889DD9D-284F-45F7-990D-F33974251F12}"/>
    <hyperlink ref="H224" r:id="rId170" xr:uid="{781C502D-6A74-49E1-881C-5BE80C3FC0F5}"/>
    <hyperlink ref="H769" r:id="rId171" xr:uid="{2AD44657-3BA3-445C-8F96-9D339673446A}"/>
    <hyperlink ref="H541" r:id="rId172" xr:uid="{B1133E71-06A7-464C-B440-B637D64A52E4}"/>
    <hyperlink ref="H396" r:id="rId173" xr:uid="{68B13927-F3AB-4937-B951-7DB1535E5CE8}"/>
    <hyperlink ref="H179" r:id="rId174" xr:uid="{A4C42A18-95B4-4C92-9C59-15A8221ADD0B}"/>
    <hyperlink ref="H542" r:id="rId175" xr:uid="{9484DB91-02AB-44C8-94E2-BF4B2D282104}"/>
    <hyperlink ref="H590" r:id="rId176" xr:uid="{C2936441-56EC-432C-BDF4-73D811D43825}"/>
    <hyperlink ref="H591" r:id="rId177" xr:uid="{CF985D4C-B5A3-4B01-9064-F915841057E8}"/>
    <hyperlink ref="H733" r:id="rId178" xr:uid="{A2FA9F64-1A73-4C6D-8207-D8BB539EE37D}"/>
    <hyperlink ref="H817" r:id="rId179" xr:uid="{03133E52-30D9-42D0-A8DD-CECAA2A957CF}"/>
    <hyperlink ref="H595" r:id="rId180" xr:uid="{AFC917CB-336D-4044-B1A9-6003FE8FA83C}"/>
    <hyperlink ref="H713" r:id="rId181" xr:uid="{3B7C2346-6901-4782-96D2-627830183B2E}"/>
    <hyperlink ref="H604" r:id="rId182" xr:uid="{C0669916-3541-42B3-B574-528A83B1928B}"/>
    <hyperlink ref="H180" r:id="rId183" xr:uid="{4A96FC70-5E66-4205-A44B-EE809FF64220}"/>
    <hyperlink ref="H800" r:id="rId184" xr:uid="{8D723245-C660-4C04-9044-537DBD340132}"/>
    <hyperlink ref="H474" r:id="rId185" xr:uid="{13E9BCC4-A56F-4B76-8F54-3241E3ABA44C}"/>
    <hyperlink ref="H181" r:id="rId186" xr:uid="{9B4F5889-600F-4479-98BC-ECE9544240D4}"/>
    <hyperlink ref="H499" r:id="rId187" xr:uid="{FBF07C80-01D6-45F4-A2B8-E5FAB5550072}"/>
    <hyperlink ref="H801" r:id="rId188" xr:uid="{EB6C32C2-6F37-429A-B7CA-C6922038E98E}"/>
    <hyperlink ref="H402" r:id="rId189" xr:uid="{D2434B3D-1BD0-462C-B30E-20399C9574F0}"/>
    <hyperlink ref="H385" r:id="rId190" xr:uid="{CE80C7A0-0007-4C45-9BD2-EF5B0D62D6B0}"/>
    <hyperlink ref="H109" r:id="rId191" xr:uid="{18B3C404-E50F-4612-8F4D-35C7BC4A59F5}"/>
    <hyperlink ref="H696" r:id="rId192" xr:uid="{662C5C83-3D8D-4A2B-B52E-EDE5E4F0C1FC}"/>
    <hyperlink ref="H734" r:id="rId193" xr:uid="{C40262A7-4C64-42FC-BB26-9DB2A7EB6796}"/>
    <hyperlink ref="H259" r:id="rId194" xr:uid="{AF0D8050-7209-4EA3-A4F9-D8A7304C7477}"/>
    <hyperlink ref="H260" r:id="rId195" xr:uid="{156BAB4F-4E3B-4361-86ED-AF5F4CA8C38F}"/>
    <hyperlink ref="H475" r:id="rId196" xr:uid="{DBCD0A9B-CA70-4EBC-8F11-B36526836125}"/>
    <hyperlink ref="H714" r:id="rId197" xr:uid="{9C9C049E-DE1E-43F0-8C29-BE668ED54798}"/>
    <hyperlink ref="H261" r:id="rId198" xr:uid="{883150BA-B78F-4154-B6C9-DBB8024A5264}"/>
    <hyperlink ref="H262" r:id="rId199" xr:uid="{972A4922-FC30-477C-8626-C0F3D08F2FB3}"/>
    <hyperlink ref="H695" r:id="rId200" xr:uid="{F0093E6B-05E7-4B75-BC25-FBD7B91CAB8A}"/>
    <hyperlink ref="H617" r:id="rId201" xr:uid="{E8F6C722-0233-4C8B-9ED5-E3F37651AA06}"/>
    <hyperlink ref="H680" r:id="rId202" xr:uid="{DF03D822-4477-4F9A-B049-13F3AA4B5312}"/>
    <hyperlink ref="H735" r:id="rId203" xr:uid="{9D6C1409-524B-4E25-B473-6EADCCE6D819}"/>
    <hyperlink ref="H381" r:id="rId204" xr:uid="{86878B76-1D74-44C0-98CB-DC1BF77B4290}"/>
    <hyperlink ref="H681" r:id="rId205" xr:uid="{6546D7CA-743F-4655-A69E-7A9EFAEFF071}"/>
    <hyperlink ref="H636" r:id="rId206" xr:uid="{081DD379-69A7-4D3B-B567-AC34DD4312EA}"/>
    <hyperlink ref="H263" r:id="rId207" xr:uid="{120FA1CE-CD73-40AC-8E22-0274FEF58166}"/>
    <hyperlink ref="H618" r:id="rId208" xr:uid="{E46CC80A-B3FB-4543-B12F-A84FFF5A5489}"/>
    <hyperlink ref="H761" r:id="rId209" xr:uid="{B892A835-DE8C-49F3-A805-16FFD5065DA4}"/>
    <hyperlink ref="H247" r:id="rId210" xr:uid="{85731759-CA5D-4F32-B380-5AB42954761A}"/>
    <hyperlink ref="H536" r:id="rId211" xr:uid="{A73675AA-0CB8-470D-9944-97D28606340B}"/>
    <hyperlink ref="H110" r:id="rId212" xr:uid="{C77E857C-824B-4469-9B5F-9B3BB881B42E}"/>
    <hyperlink ref="H592" r:id="rId213" xr:uid="{6E52EF46-6051-476C-8B87-5791AEACC626}"/>
    <hyperlink ref="H37" r:id="rId214" xr:uid="{A5CFF03E-9910-4F2B-96BF-609EF408A8F7}"/>
    <hyperlink ref="H264" r:id="rId215" xr:uid="{4F120121-04AB-4F27-AC33-82B7E8C681BE}"/>
    <hyperlink ref="H637" r:id="rId216" xr:uid="{D1F57B1D-5154-43DB-95D1-5B2CA5957699}"/>
    <hyperlink ref="H537" r:id="rId217" xr:uid="{CA5D9F15-8346-4A6C-BA7E-7D10594A187E}"/>
    <hyperlink ref="H118" r:id="rId218" xr:uid="{9ED69D17-56B7-4247-90CD-71B61AA7B459}"/>
    <hyperlink ref="H408" r:id="rId219" xr:uid="{160A1848-6663-4E24-A8B3-533D18148AAC}"/>
    <hyperlink ref="H182" r:id="rId220" xr:uid="{DDD596D9-DFE8-42AE-BA38-8D699DBE7929}"/>
    <hyperlink ref="H753" r:id="rId221" xr:uid="{D709F9A9-B5AF-4EA2-9037-4922F1B059C3}"/>
    <hyperlink ref="H359" r:id="rId222" xr:uid="{963F5ADF-4471-42D3-AD18-9B642B3CA214}"/>
    <hyperlink ref="H106" r:id="rId223" xr:uid="{7F8DFB19-D706-457F-BF90-330F96CFF77C}"/>
    <hyperlink ref="H709" r:id="rId224" xr:uid="{FF769C5D-83F1-429B-B04B-399791884890}"/>
    <hyperlink ref="H218" r:id="rId225" xr:uid="{6B224B8B-2AD6-4A15-A4DC-C20FBA6EC070}"/>
    <hyperlink ref="H66" r:id="rId226" xr:uid="{ED0F757E-5B28-4CEA-AA8F-D6AB321E0DC1}"/>
    <hyperlink ref="H353" r:id="rId227" xr:uid="{BF2B29CB-5670-4028-A7EC-228B3295799D}"/>
    <hyperlink ref="H183" r:id="rId228" xr:uid="{0EC3BA64-A504-4A9C-A6C3-F95B574A709E}"/>
    <hyperlink ref="H834" r:id="rId229" xr:uid="{6D571813-CBD4-4907-900B-5BE69410E772}"/>
    <hyperlink ref="H835" r:id="rId230" xr:uid="{2B983748-DB4A-499F-B5D8-2691F38E5CDB}"/>
    <hyperlink ref="H184" r:id="rId231" xr:uid="{4DC69483-1CD6-4756-93F6-D9F4B6AD7F0E}"/>
    <hyperlink ref="H358" r:id="rId232" xr:uid="{5214A2DB-E7AE-437B-BAF8-B4DF1C4D5150}"/>
    <hyperlink ref="H854" r:id="rId233" xr:uid="{3429A1B1-025B-453E-AAA5-A4ECBEDF8FFB}"/>
    <hyperlink ref="H730" r:id="rId234" xr:uid="{FA56DED4-911A-45BC-AAB7-76307429B8F8}"/>
    <hyperlink ref="H248" r:id="rId235" xr:uid="{4AA38E71-EE3B-4D8E-9A18-253E6272BC23}"/>
    <hyperlink ref="H29" r:id="rId236" xr:uid="{BC7E28F6-75FD-4BEA-85AC-756E43652E42}"/>
    <hyperlink ref="H669" r:id="rId237" xr:uid="{4D69AB24-DF0A-4A68-82C1-96FBA1333EA1}"/>
    <hyperlink ref="H249" r:id="rId238" xr:uid="{79438083-AD68-4145-B974-14D55D8AFE35}"/>
    <hyperlink ref="H156" r:id="rId239" xr:uid="{AB3AFEC3-C8A7-46CB-8C43-94374C1ABC6B}"/>
    <hyperlink ref="H250" r:id="rId240" xr:uid="{C499949B-5709-4E0A-AD3D-82ECE2DA9ECF}"/>
    <hyperlink ref="H428" r:id="rId241" xr:uid="{ABCECD29-1F63-4D89-812F-112153EFBE61}"/>
    <hyperlink ref="H265" r:id="rId242" xr:uid="{CBD1DA10-5CA9-4A38-9D04-4BCB2C2AA057}"/>
    <hyperlink ref="H132" r:id="rId243" xr:uid="{B10FD1EE-A59D-430F-BAD7-391FA1979C48}"/>
    <hyperlink ref="H802" r:id="rId244" xr:uid="{4C56DE2F-CEC6-4A9A-8E12-3C9EEA195F83}"/>
    <hyperlink ref="H412" r:id="rId245" xr:uid="{C6AB5975-EBEA-4238-825C-45FD4A2CE769}"/>
    <hyperlink ref="H360" r:id="rId246" xr:uid="{5914BE1A-744C-4ED7-A854-9697DB0DD7FF}"/>
    <hyperlink ref="H772" r:id="rId247" xr:uid="{551220C7-218E-40D6-A804-CE0378700F71}"/>
    <hyperlink ref="H766" r:id="rId248" xr:uid="{81C3969C-85B1-40C3-A28D-12A004AB2DDF}"/>
    <hyperlink ref="H544" r:id="rId249" xr:uid="{A23B803C-BF13-4D2C-A337-35E2DE6E2634}"/>
    <hyperlink ref="H773" r:id="rId250" xr:uid="{C96828E7-F6F6-4B8F-A685-4E99249B57D7}"/>
    <hyperlink ref="H39" r:id="rId251" xr:uid="{CA12A769-F940-41D2-8BA4-36297270A6CE}"/>
    <hyperlink ref="H585" r:id="rId252" xr:uid="{665049B4-E93C-44B1-B6AC-F5470DFB6726}"/>
    <hyperlink ref="H211" r:id="rId253" xr:uid="{173EC849-8A75-42F9-B6E6-6FE3DD9FCED6}"/>
    <hyperlink ref="H225" r:id="rId254" xr:uid="{4C780C5A-979E-407E-A8F3-E787426741E0}"/>
    <hyperlink ref="H855" r:id="rId255" xr:uid="{983410B7-41AF-44B0-A63D-1CDED79B409D}"/>
    <hyperlink ref="H555" r:id="rId256" xr:uid="{EE5D926B-ED3A-477E-B9A9-CFDFF16BDA70}"/>
    <hyperlink ref="H649" r:id="rId257" xr:uid="{8B8A2D13-BC73-46F0-9DDB-DF96764C2089}"/>
    <hyperlink ref="H424" r:id="rId258" xr:uid="{B20ABDC9-DC4A-4F2B-889B-5D7D284339DC}"/>
    <hyperlink ref="H561" r:id="rId259" xr:uid="{02860D47-A643-4F4A-A781-C32AB67BD5F5}"/>
    <hyperlink ref="H426" r:id="rId260" xr:uid="{8E9951CB-2FFB-46B3-A9FF-D33FD2952F2D}"/>
    <hyperlink ref="H650" r:id="rId261" xr:uid="{3BD59401-B704-42EF-B6C8-D423F8270FAE}"/>
    <hyperlink ref="H639" r:id="rId262" xr:uid="{B26788BE-3050-4C1F-9AA5-7F1DB22A9930}"/>
    <hyperlink ref="H427" r:id="rId263" xr:uid="{3BFD91C3-E2F2-455D-A357-D07F80F84AC6}"/>
    <hyperlink ref="H643" r:id="rId264" xr:uid="{B8726705-6459-4A6C-B041-670667F610B0}"/>
    <hyperlink ref="H645" r:id="rId265" xr:uid="{7DDD6220-C466-40B8-A5C7-DA12BD363B98}"/>
    <hyperlink ref="H646" r:id="rId266" xr:uid="{645BB9F9-5F81-4831-885C-8C72DCF1460F}"/>
    <hyperlink ref="H648" r:id="rId267" xr:uid="{4F190A87-6867-4188-978C-5065122541B8}"/>
    <hyperlink ref="H631" r:id="rId268" xr:uid="{58FC507D-9AA8-4E8C-99CE-8C202EE35787}"/>
    <hyperlink ref="H651" r:id="rId269" xr:uid="{F1074025-2057-475B-B369-0159F98292CC}"/>
    <hyperlink ref="H652" r:id="rId270" xr:uid="{2E42CCA9-9E5D-4DDD-9F4A-F1BF63AC191E}"/>
    <hyperlink ref="H653" r:id="rId271" xr:uid="{60CCB743-49B2-4EC4-BF46-4F994538176B}"/>
    <hyperlink ref="H655" r:id="rId272" xr:uid="{140AE846-1170-4FE8-8F7A-63768605356D}"/>
    <hyperlink ref="H656" r:id="rId273" xr:uid="{403AFC4D-A786-42C5-B8CD-A91BF639E8BE}"/>
    <hyperlink ref="H111" r:id="rId274" xr:uid="{4A8297A4-60A7-46BE-A46C-FB6D7678DAB5}"/>
    <hyperlink ref="H112" r:id="rId275" xr:uid="{12A011F2-8086-460E-B8CB-0D222BD5C12F}"/>
    <hyperlink ref="H113" r:id="rId276" xr:uid="{B6AF5CB4-1AF3-4491-A41F-78D1D32658D6}"/>
    <hyperlink ref="H114" r:id="rId277" xr:uid="{AAF01CC2-2F9C-44B0-A9D8-CB11CD81B51B}"/>
    <hyperlink ref="H116" r:id="rId278" xr:uid="{EABAFC84-1685-4B7B-864E-5E8A2278F074}"/>
    <hyperlink ref="H117" r:id="rId279" xr:uid="{E129EF28-BCAD-4DA8-AC31-97CEFE6C4C44}"/>
    <hyperlink ref="H107" r:id="rId280" xr:uid="{24C3570A-A4A3-46B2-A2C2-8131C06CF1C5}"/>
    <hyperlink ref="H108" r:id="rId281" xr:uid="{12A88200-C7E5-41E8-8EE7-D92F823BDBF3}"/>
    <hyperlink ref="H115" r:id="rId282" xr:uid="{EB4DD27A-C84F-482B-A6BC-BF5F3E9A34B2}"/>
    <hyperlink ref="H119" r:id="rId283" xr:uid="{C443B30E-DC2C-424D-9FC1-D593CC2F4DF4}"/>
    <hyperlink ref="H133" r:id="rId284" xr:uid="{CF603608-630F-47B0-B9D6-770163FB22CA}"/>
    <hyperlink ref="H136" r:id="rId285" xr:uid="{3F5248F3-5CE2-4FEF-AD7F-B74320EF7633}"/>
    <hyperlink ref="H137" r:id="rId286" xr:uid="{48E53B19-248C-43B8-B9C9-A1D6F23ED902}"/>
    <hyperlink ref="H139" r:id="rId287" xr:uid="{65E314ED-C694-422B-B05C-ADDB3982766B}"/>
    <hyperlink ref="H140" r:id="rId288" xr:uid="{066C07A6-BB3C-47EA-837E-888E37B97312}"/>
    <hyperlink ref="H141" r:id="rId289" xr:uid="{96A25F00-2E49-4033-BDF0-93BD0956EF7D}"/>
    <hyperlink ref="H142" r:id="rId290" xr:uid="{71EE0D16-0173-4C65-991B-0FDC3F4BD66D}"/>
    <hyperlink ref="H144" r:id="rId291" xr:uid="{24A5D7A3-2EDB-4C9B-8C42-61CFFD1DE65C}"/>
    <hyperlink ref="H145" r:id="rId292" xr:uid="{82C2A4AD-0D50-4E41-B8B2-F271AF9E6106}"/>
    <hyperlink ref="H134" r:id="rId293" xr:uid="{2901B128-4E1B-4914-8CA9-8DB5A8B8686B}"/>
    <hyperlink ref="H138" r:id="rId294" xr:uid="{62631069-CDDD-4E94-946F-CD03F7B6FFA4}"/>
    <hyperlink ref="H135" r:id="rId295" xr:uid="{D510EADB-C1B9-4B89-AF63-E2D29514E0E2}"/>
    <hyperlink ref="H143" r:id="rId296" xr:uid="{7012CB99-F95C-41E2-8B24-B9284109A428}"/>
    <hyperlink ref="H146" r:id="rId297" xr:uid="{0323BA5C-7DB6-4EF9-8EE5-D327638A6CAC}"/>
    <hyperlink ref="H456" r:id="rId298" xr:uid="{A2772BD3-C420-415F-8C49-FD7FDF154F16}"/>
    <hyperlink ref="H149" r:id="rId299" xr:uid="{7F098EEB-DBA1-407F-AEC1-EAA02231A39B}"/>
    <hyperlink ref="H150" r:id="rId300" xr:uid="{85BDB520-6320-4846-A384-9367065B7B13}"/>
    <hyperlink ref="H151" r:id="rId301" xr:uid="{B0D868F4-4990-498B-8D92-B197BD6A6B31}"/>
    <hyperlink ref="H364" r:id="rId302" xr:uid="{DA03AFFD-A1C1-479E-BA6B-0AA7FF05950E}"/>
    <hyperlink ref="H152" r:id="rId303" xr:uid="{15F1E59F-0CDF-4CEB-AC36-7E1E66ACDE3B}"/>
    <hyperlink ref="H153" r:id="rId304" xr:uid="{2DBA08C5-F007-4EB2-A01C-B088973385C6}"/>
    <hyperlink ref="H463" r:id="rId305" xr:uid="{8C2F9ADE-EDC0-4B36-A05E-5D6416FF38F0}"/>
    <hyperlink ref="H212" r:id="rId306" xr:uid="{1C7DC960-201A-4765-92C7-EA45A84E5D53}"/>
    <hyperlink ref="H215" r:id="rId307" xr:uid="{0707E2A6-8DA5-45E6-A669-CB7E12ABBFD3}"/>
    <hyperlink ref="H374" r:id="rId308" xr:uid="{8CCE847E-63EF-461E-B664-3886EC4F7E7C}"/>
    <hyperlink ref="H375" r:id="rId309" xr:uid="{37402F33-929E-4B7D-A8CE-54E6D35E6D6B}"/>
    <hyperlink ref="H213" r:id="rId310" xr:uid="{7C9AD0BA-4BCB-4744-88FF-1346AA928F25}"/>
    <hyperlink ref="H509" r:id="rId311" xr:uid="{099E5D34-CC66-4F46-9F52-E075D3072D98}"/>
    <hyperlink ref="H214" r:id="rId312" xr:uid="{689F64CC-8F7B-401A-9488-99DF6A1BDA94}"/>
    <hyperlink ref="H228" r:id="rId313" xr:uid="{D6F25CAA-65C8-4095-98B0-E9C395A5A2AA}"/>
    <hyperlink ref="H377" r:id="rId314" xr:uid="{CB25581E-AB44-47DF-A6C7-F9DD99618AC5}"/>
    <hyperlink ref="H233" r:id="rId315" xr:uid="{5881C22A-2441-47BD-A058-2A7668B48C72}"/>
    <hyperlink ref="H234" r:id="rId316" xr:uid="{90273EA2-EF93-4AC5-8C96-50A8322FAB87}"/>
    <hyperlink ref="H235" r:id="rId317" xr:uid="{39E2F9DF-39DE-4E55-AA3A-CB855A0444B2}"/>
    <hyperlink ref="H239" r:id="rId318" xr:uid="{DA3F31CD-BC40-4178-86B8-D92D846A026F}"/>
    <hyperlink ref="H236" r:id="rId319" xr:uid="{0FBBC21A-8801-4089-8BFA-5026AE13EF8D}"/>
    <hyperlink ref="H226" r:id="rId320" xr:uid="{7916526A-1CEE-4A96-8556-EA886E38B5D8}"/>
    <hyperlink ref="H227" r:id="rId321" xr:uid="{22458797-2458-4FF5-8FB5-92D79FE509EE}"/>
    <hyperlink ref="H229" r:id="rId322" xr:uid="{652D21D5-FE77-4E81-9BD8-F240DBC82661}"/>
    <hyperlink ref="H230" r:id="rId323" xr:uid="{6C904D85-AE02-449C-BF4B-A417948E75E8}"/>
    <hyperlink ref="H231" r:id="rId324" xr:uid="{A9FED34E-4AF9-4B7D-AFCF-BFE1E1C208E4}"/>
    <hyperlink ref="H232" r:id="rId325" xr:uid="{8616509B-0B05-4A31-9007-D80150EB348E}"/>
    <hyperlink ref="H219" r:id="rId326" xr:uid="{A3A8F8B2-8AD9-465F-9813-4CD113CDC71B}"/>
    <hyperlink ref="H237" r:id="rId327" xr:uid="{43862EA3-5658-43DE-B045-3727ED2C0766}"/>
    <hyperlink ref="H238" r:id="rId328" xr:uid="{6EDE68D0-F0D0-46C1-990B-5D091C4B30AB}"/>
    <hyperlink ref="H266" r:id="rId329" xr:uid="{3D65FD7E-F759-41F4-82F0-D5C90BC98D27}"/>
    <hyperlink ref="H267" r:id="rId330" xr:uid="{032FDBF9-905A-402F-B3B6-8D59C508ABE3}"/>
    <hyperlink ref="H268" r:id="rId331" xr:uid="{1DCA358B-0A8E-4424-ACF4-89FA8FEE4F8C}"/>
    <hyperlink ref="H269" r:id="rId332" xr:uid="{EBF583EB-C512-4CBE-8C45-A9BA911D0F5C}"/>
    <hyperlink ref="H270" r:id="rId333" xr:uid="{82D5682C-67E2-4BE0-A74D-A57F78A3DA40}"/>
    <hyperlink ref="H271" r:id="rId334" xr:uid="{A447BF53-DA35-4D65-A913-B331366D26BE}"/>
    <hyperlink ref="H272" r:id="rId335" xr:uid="{2C6F9127-DC8C-434F-BFB8-043E34FD4FEB}"/>
    <hyperlink ref="H273" r:id="rId336" xr:uid="{04D06B30-7961-43AC-988C-BFE1DFD42F21}"/>
    <hyperlink ref="H274" r:id="rId337" xr:uid="{5D8814E3-8DF5-46AF-8964-6B079A039547}"/>
    <hyperlink ref="H275" r:id="rId338" xr:uid="{56313239-8158-437D-8ACC-8E2580C2A4F2}"/>
    <hyperlink ref="H365" r:id="rId339" xr:uid="{F5E0BB09-4DCD-49B7-9591-39439DE503D4}"/>
    <hyperlink ref="H284" r:id="rId340" xr:uid="{2CA9C02A-31EB-4D00-B6C1-0DBAA204CC17}"/>
    <hyperlink ref="H185" r:id="rId341" xr:uid="{694E02FC-D99A-4F8A-95F0-C8FC1D22692C}"/>
    <hyperlink ref="H803" r:id="rId342" xr:uid="{F7C88020-2D83-41CE-B94B-6341CA1CFEE3}"/>
    <hyperlink ref="H856" r:id="rId343" xr:uid="{73FE5177-436F-4C59-B4FE-FE9B7F776FD3}"/>
    <hyperlink ref="H186" r:id="rId344" xr:uid="{D60B625A-38BE-495E-AE63-414EFED03528}"/>
    <hyperlink ref="H870" r:id="rId345" xr:uid="{437C7949-93E7-4C72-ACF3-722C90D86CDF}"/>
    <hyperlink ref="H545" r:id="rId346" xr:uid="{6739EA56-3EC1-41F5-9A41-2DBF39E706DC}"/>
    <hyperlink ref="H857" r:id="rId347" xr:uid="{29784A05-D6F6-419F-B8B8-E183856FDA0F}"/>
    <hyperlink ref="H476" r:id="rId348" xr:uid="{6A7090D1-BA89-4970-81C0-FCCB8EAF3D8B}"/>
    <hyperlink ref="H187" r:id="rId349" xr:uid="{FBBD98D8-7DB6-4826-AB36-D7130B39B0A8}"/>
    <hyperlink ref="H405" r:id="rId350" xr:uid="{17AA3AFF-0796-4573-AFC3-829F2B830877}"/>
    <hyperlink ref="H477" r:id="rId351" xr:uid="{F4730519-A020-4255-BD97-8979002D4487}"/>
    <hyperlink ref="H188" r:id="rId352" xr:uid="{9B822CF3-9246-48A4-B02B-7BEDBB3BCE18}"/>
    <hyperlink ref="H806" r:id="rId353" xr:uid="{0ADCD443-612B-44A9-93B2-1D61585A9539}"/>
    <hyperlink ref="H189" r:id="rId354" xr:uid="{9F2E0268-9B5C-4324-B3BF-2E85E4F8B9BD}"/>
    <hyperlink ref="H774" r:id="rId355" xr:uid="{6073FA91-C58C-4969-8617-2CE04E82D168}"/>
    <hyperlink ref="H478" r:id="rId356" xr:uid="{98D65E10-252B-4955-8F45-B56ABE13EEDC}"/>
    <hyperlink ref="H190" r:id="rId357" xr:uid="{2E24D8CA-0E36-4C3D-A8AA-C5745F908978}"/>
    <hyperlink ref="H807" r:id="rId358" xr:uid="{B4CEC7A9-26BF-483A-A3F5-EA182FB710C7}"/>
    <hyperlink ref="H546" r:id="rId359" xr:uid="{7EA208B1-376A-4F80-A74A-55A72DA25C6B}"/>
    <hyperlink ref="H67" r:id="rId360" xr:uid="{48884E40-00A1-430C-8255-30EA5FD0F047}"/>
    <hyperlink ref="H549" r:id="rId361" xr:uid="{5E1B24C0-78B9-4C4F-A462-179458101F56}"/>
    <hyperlink ref="H808" r:id="rId362" xr:uid="{C4CD63C8-5AD6-4906-BAE3-C281EE6FD904}"/>
    <hyperlink ref="H858" r:id="rId363" xr:uid="{A7653003-CFEC-40E2-9675-12558A9D84E0}"/>
    <hyperlink ref="H479" r:id="rId364" xr:uid="{26D8FC01-AF75-46E1-9DD6-DB7135E36D47}"/>
    <hyperlink ref="H480" r:id="rId365" xr:uid="{47060FC3-706B-4438-9AE5-40FABF7F8EBE}"/>
    <hyperlink ref="H124" r:id="rId366" xr:uid="{ED5A1537-DCEC-4DA7-81CB-C046F72B7E9C}"/>
    <hyperlink ref="H557" r:id="rId367" xr:uid="{8317A1EF-CE1A-4E59-95A4-7AC7D80B7E3A}"/>
    <hyperlink ref="H736" r:id="rId368" xr:uid="{8B92B70E-7F48-4E24-BEEF-2EFE00F4181B}"/>
    <hyperlink ref="H715" r:id="rId369" xr:uid="{AF007BEC-1693-45E0-BFFC-2A3322DF541A}"/>
    <hyperlink ref="H737" r:id="rId370" xr:uid="{A4A60E8B-36CA-495D-94F7-843FAA0E82EB}"/>
    <hyperlink ref="H697" r:id="rId371" xr:uid="{B106BA3F-5B8B-4DAE-BAE0-8CFC9827E10F}"/>
    <hyperlink ref="H716" r:id="rId372" xr:uid="{9CB24368-4C81-4D6E-AD70-1DB16C43F80E}"/>
    <hyperlink ref="H155" r:id="rId373" xr:uid="{A354B671-F1D6-49A1-9550-E024C8EFAE3B}"/>
    <hyperlink ref="H16" r:id="rId374" xr:uid="{3D4FE984-CF31-4E92-AD7A-4028473E411A}"/>
    <hyperlink ref="H27" r:id="rId375" xr:uid="{E376EE37-6DE6-42C9-BB30-29EDC80A8BB7}"/>
    <hyperlink ref="H34" r:id="rId376" xr:uid="{1078D536-B6C4-4FF3-8B1F-C6DAA6E20EDB}"/>
    <hyperlink ref="H13" r:id="rId377" xr:uid="{8EA7F273-52B1-4601-B518-2D6A37BEE4AE}"/>
    <hyperlink ref="H640" r:id="rId378" xr:uid="{118FE1B9-6FA3-47B6-B45C-028A097E2615}"/>
    <hyperlink ref="H48" r:id="rId379" xr:uid="{328B844B-7E11-40D6-957C-FFDBB2CFF7CE}"/>
    <hyperlink ref="H641" r:id="rId380" xr:uid="{51ABACDF-FEB3-4909-BD1B-A9C9008F17A3}"/>
    <hyperlink ref="H18" r:id="rId381" xr:uid="{399B5EB0-8190-4EB0-A115-49370E44305B}"/>
    <hyperlink ref="H17" r:id="rId382" xr:uid="{217CFB0C-6D20-4DEB-8705-116C9FD442C7}"/>
    <hyperlink ref="H256" r:id="rId383" xr:uid="{B5ED17C4-0CA8-482D-B1BA-7866E85EC2FE}"/>
    <hyperlink ref="H14" r:id="rId384" xr:uid="{14E8EABA-BB20-400C-94A0-DF57FE623E02}"/>
    <hyperlink ref="H276" r:id="rId385" xr:uid="{8BC4C549-05FC-4DBA-BDC1-5E7CC4EF82E5}"/>
    <hyperlink ref="H732" r:id="rId386" xr:uid="{553A0B67-8C84-4ED4-B80C-B1A093A6E5B5}"/>
    <hyperlink ref="H717" r:id="rId387" xr:uid="{E0CD49E9-340E-40FF-BC60-4A02FC55244D}"/>
    <hyperlink ref="H277" r:id="rId388" xr:uid="{720A74F9-46C4-4A8E-B821-3295ECA615EB}"/>
    <hyperlink ref="H670" r:id="rId389" xr:uid="{40CCEA57-0A1B-44AE-B515-C0F06EB55C2C}"/>
    <hyperlink ref="H278" r:id="rId390" xr:uid="{5E6E9185-B3BD-4DA5-912D-FA5A64345F86}"/>
    <hyperlink ref="H579" r:id="rId391" xr:uid="{1DD73D9F-0281-410F-B82C-AA1E15AFC12C}"/>
    <hyperlink ref="H859" r:id="rId392" xr:uid="{D08FEC51-1023-4AF1-8A12-93F7C78EA3F8}"/>
    <hyperlink ref="H68" r:id="rId393" xr:uid="{881135A3-6D78-44B7-8675-2A3BFEAEB9DE}"/>
    <hyperlink ref="H481" r:id="rId394" xr:uid="{08CBAF09-7CBF-4158-9C9A-4592B71B0AED}"/>
    <hyperlink ref="H861" r:id="rId395" xr:uid="{748DC54B-252B-4DB8-A9EA-E6E631F36DCD}"/>
    <hyperlink ref="H809" r:id="rId396" xr:uid="{A96E23CB-6FB5-42B0-BED6-D5A34C599ED3}"/>
    <hyperlink ref="H718" r:id="rId397" xr:uid="{3512FB0F-5FCA-4238-AD6F-CC77E412C524}"/>
    <hyperlink ref="H607" r:id="rId398" xr:uid="{A28C5554-86B2-47B2-991B-6D69109F0C69}"/>
    <hyperlink ref="H608" r:id="rId399" xr:uid="{EA22A674-0041-4E33-8E28-6C67994FF067}"/>
    <hyperlink ref="H482" r:id="rId400" xr:uid="{C6BE0275-7269-4FAB-B2C2-4E5E18F601A0}"/>
    <hyperlink ref="H550" r:id="rId401" xr:uid="{BC2F456E-B648-4EDF-95DC-DFE16058C2B5}"/>
    <hyperlink ref="H738" r:id="rId402" xr:uid="{F73B3591-2A80-48FE-A88E-E6AAD0027066}"/>
    <hyperlink ref="H279" r:id="rId403" xr:uid="{8E3FB592-0CD5-43CA-83EA-17C8BBA7C10F}"/>
    <hyperlink ref="H483" r:id="rId404" xr:uid="{DCF766F2-6099-4D2C-BC97-A0BF85621C0A}"/>
    <hyperlink ref="H484" r:id="rId405" xr:uid="{C9ECFAE7-9983-42D8-BAC5-77B0E126CEB0}"/>
    <hyperlink ref="H69" r:id="rId406" xr:uid="{E26BEFE7-641A-457A-A131-BE105622D977}"/>
    <hyperlink ref="H810" r:id="rId407" xr:uid="{1D811741-145F-4962-A031-3503727D26DF}"/>
    <hyperlink ref="H280" r:id="rId408" xr:uid="{542636E3-15DB-4FC2-B183-A40CAFE815C7}"/>
    <hyperlink ref="H720" r:id="rId409" xr:uid="{00BEE448-16EE-4AD4-BE46-E5DA78EFA654}"/>
    <hyperlink ref="H191" r:id="rId410" xr:uid="{B19C0E5D-49F5-4C12-BCD3-4642592361D5}"/>
    <hyperlink ref="H721" r:id="rId411" xr:uid="{75B86B77-747B-4D35-BBD7-4C2D6E7E4F8B}"/>
    <hyperlink ref="H671" r:id="rId412" xr:uid="{C82760E0-F508-470C-A771-AE232E1E89B7}"/>
    <hyperlink ref="H71" r:id="rId413" xr:uid="{6F72E101-4B38-4B2F-8B93-D042A4A4342D}"/>
    <hyperlink ref="H658" r:id="rId414" xr:uid="{4D49F463-BF72-402F-B458-8EB07CEF1977}"/>
    <hyperlink ref="H672" r:id="rId415" xr:uid="{2386EEB4-26F5-4E7A-98F1-AFC22045E0FD}"/>
    <hyperlink ref="H485" r:id="rId416" xr:uid="{9C53698F-2D68-40F3-A502-B6C62F00A943}"/>
    <hyperlink ref="H837" r:id="rId417" xr:uid="{CA1FE025-3C8F-48B5-A08F-810998CAF016}"/>
    <hyperlink ref="H586" r:id="rId418" xr:uid="{8EFFF0D7-20FF-4102-8303-A6165DE8632C}"/>
    <hyperlink ref="H754" r:id="rId419" xr:uid="{C59F3F63-9D3D-41ED-B4CF-6702A017D91A}"/>
    <hyperlink ref="H851" r:id="rId420" xr:uid="{85B4EA93-715F-4D75-A709-DA410E3DB258}"/>
    <hyperlink ref="H192" r:id="rId421" xr:uid="{C4D1873B-9558-4417-B56E-2B959B3D848C}"/>
    <hyperlink ref="H422" r:id="rId422" xr:uid="{E2A4B0B5-F430-4F52-94EF-3FEE6F104665}"/>
    <hyperlink ref="H739" r:id="rId423" xr:uid="{B8677A0F-FA1A-446A-BBCE-005DF6E5375A}"/>
    <hyperlink ref="H609" r:id="rId424" xr:uid="{CE56876F-66F8-4C55-A0F1-4F5C10E1036B}"/>
    <hyperlink ref="H486" r:id="rId425" xr:uid="{ADBC2A91-F424-4384-8C28-81BCCB2DEAFD}"/>
    <hyperlink ref="H659" r:id="rId426" xr:uid="{7D2D5F74-164E-452A-8BB7-6CF73E9CFC3E}"/>
    <hyperlink ref="H281" r:id="rId427" xr:uid="{2D14D9D1-5735-484A-9E92-7F12571F9659}"/>
    <hyperlink ref="H157" r:id="rId428" xr:uid="{47457798-3C6A-457A-BFB5-613428097AA5}"/>
    <hyperlink ref="H125" r:id="rId429" xr:uid="{AA6AFC8D-951B-4DC4-8AB3-7CF58DE83E91}"/>
    <hyperlink ref="H741" r:id="rId430" xr:uid="{409A2069-4C93-4DC8-A6EA-B010698AED86}"/>
    <hyperlink ref="H722" r:id="rId431" xr:uid="{25FFB333-F849-43CA-A218-33EC85ABC1E3}"/>
    <hyperlink ref="H577" r:id="rId432" xr:uid="{3F26137B-C603-4760-89DB-3867B4CB0F07}"/>
    <hyperlink ref="H698" r:id="rId433" xr:uid="{E4E1AEF6-CE28-4CA0-971D-2C41AC240BD9}"/>
    <hyperlink ref="H282" r:id="rId434" xr:uid="{0D96B8DD-9B53-49CF-AD48-E743A388AF80}"/>
    <hyperlink ref="H397" r:id="rId435" xr:uid="{97A9F2EE-56A4-4870-A3C9-3E6757402A26}"/>
    <hyperlink ref="H811" r:id="rId436" xr:uid="{8520D177-41CE-4E4B-AD00-7A3A0003AAA6}"/>
    <hyperlink ref="H742" r:id="rId437" xr:uid="{56B9FE03-5470-4240-9D84-51421374B2A5}"/>
    <hyperlink ref="H784" r:id="rId438" xr:uid="{98AE1BB6-8487-4D94-A655-149A4EED6A0F}"/>
    <hyperlink ref="H755" r:id="rId439" xr:uid="{5D09F5CE-E910-409A-BECA-CB695AE06A0D}"/>
    <hyperlink ref="H634" r:id="rId440" xr:uid="{D48CA48C-5980-4EE6-8603-538179C46D00}"/>
    <hyperlink ref="H587" r:id="rId441" xr:uid="{55D53A29-0DE6-45C9-9F54-6096E0677004}"/>
    <hyperlink ref="H551" r:id="rId442" xr:uid="{D956B30F-455F-421D-B4FC-C5B51092C82D}"/>
    <hyperlink ref="H763" r:id="rId443" xr:uid="{BC1236A7-51F5-4799-9F9F-7304EBB2114C}"/>
    <hyperlink ref="H283" r:id="rId444" xr:uid="{FD4C1DAA-43C7-4E2F-A83F-8CA7FF7C07F8}"/>
    <hyperlink ref="H487" r:id="rId445" xr:uid="{45F15418-B1EC-4259-BF12-54C784058146}"/>
    <hyperlink ref="H673" r:id="rId446" xr:uid="{BE46C8A7-A86D-4562-A9DD-4F8E856FD879}"/>
    <hyperlink ref="H674" r:id="rId447" xr:uid="{881F1207-99A1-4F5D-A9BE-8525D5881568}"/>
    <hyperlink ref="H552" r:id="rId448" xr:uid="{F5ADDE10-3A13-4558-9F72-D56A25882DF8}"/>
    <hyperlink ref="H415" r:id="rId449" xr:uid="{F98C0B6D-9561-4394-8B0A-1093175217B3}"/>
    <hyperlink ref="H862" r:id="rId450" xr:uid="{9D8F7245-0030-407A-BD2E-ED322835CD9C}"/>
    <hyperlink ref="H603" r:id="rId451" xr:uid="{AB5B22C5-B5F0-4B4E-B930-8036368BC017}"/>
    <hyperlink ref="H488" r:id="rId452" xr:uid="{E8F97D35-1728-4A13-BC5F-1E62AEAC508B}"/>
    <hyperlink ref="H489" r:id="rId453" xr:uid="{5526DF90-CE50-44A8-BD93-278C93435E6C}"/>
    <hyperlink ref="H756" r:id="rId454" xr:uid="{2F062213-D5E4-45D3-9A10-08D7159821F6}"/>
    <hyperlink ref="H72" r:id="rId455" xr:uid="{C03EDCF9-3D1E-4D77-B097-53DF6ED4F0F5}"/>
    <hyperlink ref="H567" r:id="rId456" xr:uid="{2E5F7D0B-B206-4B96-8947-09B3F57FAB97}"/>
    <hyperlink ref="H675" r:id="rId457" xr:uid="{84417C52-7B7D-4268-92AE-C615DBFB5BD2}"/>
    <hyperlink ref="H126" r:id="rId458" xr:uid="{A9037CB1-2B7C-471F-A3FB-409CF07C6516}"/>
    <hyperlink ref="H743" r:id="rId459" xr:uid="{E48B3826-5007-4F6F-98C2-49FA2EA2CF39}"/>
    <hyperlink ref="H812" r:id="rId460" xr:uid="{0F2A1287-4D48-4AC8-9BF6-BE344D73EEA3}"/>
    <hyperlink ref="H744" r:id="rId461" xr:uid="{B2FEBDC3-459F-4866-B7DE-1935BBF5DFAE}"/>
    <hyperlink ref="H73" r:id="rId462" xr:uid="{E3928E4D-A8A6-4270-B940-2F6F5008F65A}"/>
    <hyperlink ref="H660" r:id="rId463" xr:uid="{2713E3C9-389D-4090-88E7-DABD9DFAC7F6}"/>
    <hyperlink ref="H588" r:id="rId464" xr:uid="{20DE8F54-DB22-455A-AB8D-5B0133D23562}"/>
    <hyperlink ref="H553" r:id="rId465" xr:uid="{7C66597C-5343-4C5A-AF86-9C3358A7D2A5}"/>
    <hyperlink ref="H686" r:id="rId466" xr:uid="{D9E9C96C-1C3C-4CA8-8061-2455848382F9}"/>
    <hyperlink ref="H490" r:id="rId467" xr:uid="{649A587B-F06A-43B7-8F32-BD8C6DFFA638}"/>
    <hyperlink ref="H491" r:id="rId468" xr:uid="{DD325FE4-CFFA-4945-908C-256C59691296}"/>
    <hyperlink ref="H593" r:id="rId469" xr:uid="{4C9C314D-5009-4F89-B28F-F38713001AB1}"/>
    <hyperlink ref="H398" r:id="rId470" xr:uid="{15AEBAA9-62FC-4555-B992-F471B81EDB75}"/>
    <hyperlink ref="H399" r:id="rId471" xr:uid="{0F75AFBD-0C0F-4A2C-B9EA-14B8D0D2ECCC}"/>
    <hyperlink ref="H158" r:id="rId472" xr:uid="{4894B8D1-8572-4E5D-8EE4-EDCA98ECB505}"/>
    <hyperlink ref="H745" r:id="rId473" xr:uid="{F5A376F6-B091-4AAF-B72E-04FD93C160DB}"/>
    <hyperlink ref="H554" r:id="rId474" xr:uid="{1577A89C-06A9-4F5E-8D76-022A1E659928}"/>
    <hyperlink ref="H764" r:id="rId475" xr:uid="{9A69311E-76B1-44A1-9E57-82E62C34403E}"/>
    <hyperlink ref="H159" r:id="rId476" xr:uid="{16FB5112-9E38-4043-9303-6FBC6BD34978}"/>
    <hyperlink ref="H74" r:id="rId477" xr:uid="{23B540DC-A1FF-486A-AAFD-02033F1EE21A}"/>
    <hyperlink ref="H370" r:id="rId478" xr:uid="{9AAAADDD-72F1-4185-8A42-D0675B569005}"/>
    <hyperlink ref="H556" r:id="rId479" xr:uid="{919F6C18-14D5-410B-AB37-C9154B22DDA0}"/>
    <hyperlink ref="H376" r:id="rId480" xr:uid="{C314CEF7-0BA8-4EE5-9D8C-69DBD4F1DF52}"/>
    <hyperlink ref="H785" r:id="rId481" xr:uid="{5E07E22B-2B7E-4DD0-843A-0E84EB97F39D}"/>
    <hyperlink ref="H594" r:id="rId482" xr:uid="{9E612DE8-565A-45C1-A465-CC03678A9297}"/>
    <hyperlink ref="H580" r:id="rId483" xr:uid="{9797C2D7-573B-4005-A226-B53840F787B5}"/>
    <hyperlink ref="H366" r:id="rId484" xr:uid="{4E86DA2A-8ADC-4CC8-B492-9E4BE5AA6D04}"/>
    <hyperlink ref="H787" r:id="rId485" xr:uid="{C195B9FA-A734-44C0-A5BC-E6CBEFCEE3F3}"/>
    <hyperlink ref="H788" r:id="rId486" xr:uid="{8E83A199-9B49-4698-BF29-6B0A00F8DA7E}"/>
    <hyperlink ref="H492" r:id="rId487" xr:uid="{4FDB906A-C870-49F6-9851-34A53978C78F}"/>
    <hyperlink ref="H429" r:id="rId488" xr:uid="{3605D840-C519-4E8E-B6E0-261C0DEC3C35}"/>
    <hyperlink ref="H193" r:id="rId489" xr:uid="{3E1690D2-8443-45E5-AD04-5CBF98E4F862}"/>
    <hyperlink ref="H407" r:id="rId490" xr:uid="{EF0B2A0A-3158-4408-8393-BCE9D79C434B}"/>
    <hyperlink ref="H583" r:id="rId491" xr:uid="{8BB5171C-F06B-4FC4-8347-CDBCB241EF31}"/>
    <hyperlink ref="H434" r:id="rId492" xr:uid="{2C37927A-3684-4CDF-AB7B-DCD363767BF7}"/>
    <hyperlink ref="H615" r:id="rId493" xr:uid="{185903C6-39EE-49C9-ADC2-2BD10E681ED7}"/>
    <hyperlink ref="H3" r:id="rId494" xr:uid="{E1785E97-F68C-4C81-85B2-DB0AD3B40C03}"/>
    <hyperlink ref="H469" r:id="rId495" xr:uid="{EBA610E8-E07B-43D1-98FF-3A981559E523}"/>
    <hyperlink ref="H789" r:id="rId496" xr:uid="{867090FD-93B2-4F9D-8C69-E4E8CD881BC3}"/>
    <hyperlink ref="H160" r:id="rId497" xr:uid="{5C44672D-3B0B-44DE-B638-0AF2E67ABEF2}"/>
    <hyperlink ref="H676" r:id="rId498" xr:uid="{FF05E5FC-F4C0-40F6-8925-5C758F1FEE2D}"/>
    <hyperlink ref="H813" r:id="rId499" xr:uid="{6570DD59-E0AE-4C33-8DCD-A4ACCA4EAD9C}"/>
    <hyperlink ref="H528" r:id="rId500" xr:uid="{F705D1A0-C2A7-4E81-A1AF-292C8A8AE061}"/>
    <hyperlink ref="H814" r:id="rId501" xr:uid="{64E1C714-C548-4468-891E-1AB098449B79}"/>
    <hyperlink ref="H863" r:id="rId502" xr:uid="{253226BF-31A2-430E-8608-328AE2CB01C0}"/>
    <hyperlink ref="H75" r:id="rId503" xr:uid="{194AE458-BFC0-4E7E-B5FC-4E0A9F45A9E8}"/>
    <hyperlink ref="H388" r:id="rId504" xr:uid="{A69D5321-1E64-4AB9-90A5-032B776200DB}"/>
    <hyperlink ref="H77" r:id="rId505" xr:uid="{045C3498-2CDD-4F7F-A1C8-741BA8FC0319}"/>
    <hyperlink ref="H285" r:id="rId506" xr:uid="{BA3891AE-49B0-4FF0-B900-2558BF939BE2}"/>
    <hyperlink ref="H78" r:id="rId507" xr:uid="{C5F4FC55-642D-4967-8C8D-98539C7B89FD}"/>
    <hyperlink ref="H286" r:id="rId508" xr:uid="{40EB0204-3D3C-4968-8302-7A1229DF642C}"/>
    <hyperlink ref="H194" r:id="rId509" xr:uid="{DED78C30-ADC6-489D-ABAB-3199405BCC5C}"/>
    <hyperlink ref="H838" r:id="rId510" xr:uid="{A47A2101-AE0B-482B-8E7D-31ABA55EC632}"/>
    <hyperlink ref="H367" r:id="rId511" xr:uid="{1A847287-8A60-4988-AE34-EBA636C2AD40}"/>
    <hyperlink ref="H287" r:id="rId512" xr:uid="{CFDD8EE8-C985-4AE8-977B-3C80BC17B849}"/>
    <hyperlink ref="H493" r:id="rId513" xr:uid="{11A24A55-9219-4F2A-8BDF-47BEE271B619}"/>
    <hyperlink ref="H596" r:id="rId514" xr:uid="{97703113-A6B4-4F45-99F0-2469250A5617}"/>
    <hyperlink ref="H288" r:id="rId515" xr:uid="{AA87C03E-C4F4-4048-B43E-19F676B30480}"/>
    <hyperlink ref="H420" r:id="rId516" xr:uid="{FD598976-F083-48FA-8ED2-0CE599F0BCCD}"/>
    <hyperlink ref="H558" r:id="rId517" xr:uid="{79E57018-90A3-4518-BBDC-435B55CC338F}"/>
    <hyperlink ref="H289" r:id="rId518" xr:uid="{EB00825D-9875-4D37-888F-6B7E2FB15435}"/>
    <hyperlink ref="H839" r:id="rId519" xr:uid="{48634C8A-2774-46D8-BE81-94E18A91D700}"/>
    <hyperlink ref="H840" r:id="rId520" xr:uid="{E6D5E214-0C34-4B6B-B831-A14915426D3A}"/>
    <hyperlink ref="H290" r:id="rId521" xr:uid="{9AE33793-46ED-41F4-808D-17B9DA51FDC8}"/>
    <hyperlink ref="H829" r:id="rId522" xr:uid="{A96259CC-E798-4D3C-8223-945332E6F60D}"/>
    <hyperlink ref="H775" r:id="rId523" xr:uid="{A37C5A58-1D51-4C09-A67E-110ADA222519}"/>
    <hyperlink ref="H815" r:id="rId524" xr:uid="{4FFD7E5A-4814-4287-995F-97F8115387D0}"/>
    <hyperlink ref="H79" r:id="rId525" xr:uid="{B604F08B-611A-4C8B-B4B0-21858707745B}"/>
    <hyperlink ref="H291" r:id="rId526" xr:uid="{D3E1CAC6-54B0-4F8A-B710-112D349EFB48}"/>
    <hyperlink ref="H292" r:id="rId527" xr:uid="{6A6166EE-714E-4A98-A5AE-B5F8B9C674F5}"/>
    <hyperlink ref="H293" r:id="rId528" xr:uid="{0D2AA430-7956-4346-8DDA-E5D41333A7C6}"/>
    <hyperlink ref="H816" r:id="rId529" xr:uid="{22E52AAE-9D26-464B-9480-75FE99437AA4}"/>
    <hyperlink ref="H565" r:id="rId530" xr:uid="{89595B2A-0F7A-47BC-8977-899169F04BCC}"/>
    <hyperlink ref="H610" r:id="rId531" xr:uid="{F2E64666-FB1A-488E-8C9D-49236A778487}"/>
    <hyperlink ref="H494" r:id="rId532" xr:uid="{509597BB-3A3E-4AA7-BE73-390F5C9D83AC}"/>
    <hyperlink ref="H294" r:id="rId533" xr:uid="{07CC2C88-8F48-4C4F-861A-81BE26A75317}"/>
    <hyperlink ref="H841" r:id="rId534" xr:uid="{87B0325C-2FF3-46F6-AA19-51D6700AB689}"/>
    <hyperlink ref="H843" r:id="rId535" xr:uid="{BC7ED6D9-294D-4E82-8C0A-C5DEF8D1BF20}"/>
    <hyperlink ref="H295" r:id="rId536" xr:uid="{05306B53-BE7E-40D0-9CCC-D0C4F72C5104}"/>
    <hyperlink ref="H296" r:id="rId537" xr:uid="{25672F96-16A7-4341-873A-872550D86926}"/>
    <hyperlink ref="H597" r:id="rId538" xr:uid="{5B588F3F-0C53-4690-9585-1AFF670CA939}"/>
    <hyperlink ref="H400" r:id="rId539" xr:uid="{6A4CB2FA-C5C7-4745-A0EF-52DEDADC3ECE}"/>
    <hyperlink ref="H495" r:id="rId540" xr:uid="{21FBC9D3-347B-43E0-BD59-4969D51D54EF}"/>
    <hyperlink ref="H161" r:id="rId541" xr:uid="{50E58DAD-F2B0-482B-AC67-4F97702C4560}"/>
    <hyperlink ref="H765" r:id="rId542" xr:uid="{B3C7FEB8-17BF-4F8B-BA9E-E756E9174468}"/>
    <hyperlink ref="H790" r:id="rId543" xr:uid="{2EACB4B5-6D0D-4F7C-A737-92D0C7B72939}"/>
    <hyperlink ref="H371" r:id="rId544" xr:uid="{1A29A6BD-7110-4DF7-9334-7E7214EE312B}"/>
    <hyperlink ref="H356" r:id="rId545" xr:uid="{6B128D46-75B4-482D-999A-739654FC956F}"/>
    <hyperlink ref="H723" r:id="rId546" xr:uid="{3CA99D32-0076-4EEB-9A7A-0B197224D317}"/>
    <hyperlink ref="H598" r:id="rId547" xr:uid="{AD0687D8-BCEA-4B1A-B069-F5A90FE75E7B}"/>
    <hyperlink ref="H297" r:id="rId548" xr:uid="{FE09590A-2C03-4058-9CA2-04820D5DE469}"/>
    <hyperlink ref="H724" r:id="rId549" xr:uid="{9C60FD4C-21EA-4F8E-8F56-AB11203DF614}"/>
    <hyperlink ref="H746" r:id="rId550" xr:uid="{52F8DA5C-71A8-46B3-A2AD-719173858A82}"/>
    <hyperlink ref="H298" r:id="rId551" xr:uid="{2A6A0A14-99FB-479D-BFF3-956C8EF65188}"/>
    <hyperlink ref="H299" r:id="rId552" xr:uid="{5C498811-39EB-40B2-9EBD-DCA2A80C6A51}"/>
    <hyperlink ref="H300" r:id="rId553" xr:uid="{A2D51E02-436B-4195-B22A-6CA761D9FFC9}"/>
    <hyperlink ref="H496" r:id="rId554" xr:uid="{05B93726-60D9-4173-B6B5-A5CD4A06A157}"/>
    <hyperlink ref="H80" r:id="rId555" xr:uid="{66C489FE-4B44-4BA4-B79B-AF144577F3B1}"/>
    <hyperlink ref="H301" r:id="rId556" xr:uid="{890969CF-25AB-41FC-92E9-B9BC0A404DB3}"/>
    <hyperlink ref="H677" r:id="rId557" xr:uid="{E885A47A-2905-4B0A-B725-495ED54B8EC7}"/>
    <hyperlink ref="H679" r:id="rId558" xr:uid="{B74330A6-56D5-409F-BE25-1F1C9FD604C7}"/>
    <hyperlink ref="H363" r:id="rId559" xr:uid="{D8442B66-CDA4-4BFA-8CDC-450179DE8322}"/>
    <hyperlink ref="H81" r:id="rId560" xr:uid="{02B272ED-4408-4844-BBD2-9E0A6134C4F5}"/>
    <hyperlink ref="H842" r:id="rId561" xr:uid="{B1C9D6C3-1896-48E9-AAAA-AF6B860BF479}"/>
    <hyperlink ref="H599" r:id="rId562" xr:uid="{BFF606EC-47D1-460F-8CD9-F8B32DAE27B2}"/>
    <hyperlink ref="H195" r:id="rId563" xr:uid="{7C580400-F4AA-4745-8976-15359BEBD457}"/>
    <hyperlink ref="H682" r:id="rId564" xr:uid="{CD604931-2699-4F50-A910-E48B77B3E4F5}"/>
    <hyperlink ref="H302" r:id="rId565" xr:uid="{640AB996-8252-4892-8036-ECBF80CBBA87}"/>
    <hyperlink ref="H683" r:id="rId566" xr:uid="{6B8B5DAF-8F46-4857-A698-3330CB2F755D}"/>
    <hyperlink ref="H303" r:id="rId567" xr:uid="{AB12AFBC-D4AA-4374-9F7A-333C4CAB9FA2}"/>
    <hyperlink ref="H498" r:id="rId568" xr:uid="{B5620209-139D-43C4-A28C-C564BEE7856D}"/>
    <hyperlink ref="H818" r:id="rId569" xr:uid="{96C72A82-9B7A-42F7-9307-F02C4B89AB99}"/>
    <hyperlink ref="H559" r:id="rId570" xr:uid="{ED1E9D24-0889-4F40-9E82-210B50F8E1AD}"/>
    <hyperlink ref="H560" r:id="rId571" xr:uid="{B3EDC8CF-3978-440E-91F2-B4CAA2802B56}"/>
    <hyperlink ref="H562" r:id="rId572" xr:uid="{4B85A6D1-591D-4535-9B5F-94EBD5C1E86E}"/>
    <hyperlink ref="H684" r:id="rId573" xr:uid="{6A0216CD-ADE7-459B-9536-74816474417E}"/>
    <hyperlink ref="H82" r:id="rId574" xr:uid="{79B0F3DA-E4E7-41F9-BBBB-196701EBABE2}"/>
    <hyperlink ref="H84" r:id="rId575" xr:uid="{433FECF2-717B-40B1-AB00-DB6BFC151FF2}"/>
    <hyperlink ref="H196" r:id="rId576" xr:uid="{17E18C3C-D72E-47B9-9D98-2BBC34B13D83}"/>
    <hyperlink ref="H85" r:id="rId577" xr:uid="{1C31D258-42F3-4DC9-A00A-56EACDE3942C}"/>
    <hyperlink ref="H685" r:id="rId578" xr:uid="{84415644-B056-430C-99F3-E48F3D544A9C}"/>
    <hyperlink ref="H791" r:id="rId579" xr:uid="{1B5AB3B9-BF49-4DA2-B615-89A7C6034559}"/>
    <hyperlink ref="H725" r:id="rId580" xr:uid="{ADD4C3A2-A201-4C90-98DD-CFC69AEAA61D}"/>
    <hyperlink ref="H304" r:id="rId581" xr:uid="{1C397661-1AA4-4D50-A7C2-6677632D915B}"/>
    <hyperlink ref="H305" r:id="rId582" xr:uid="{38CAF25E-3A9D-483F-8C4B-6ED947DED918}"/>
    <hyperlink ref="H197" r:id="rId583" xr:uid="{DB641A04-3F1B-4521-853F-53E83A1917AE}"/>
    <hyperlink ref="H819" r:id="rId584" xr:uid="{A0C9FBA2-B81C-4F51-8EA8-B34A6F4C0A7A}"/>
    <hyperlink ref="H306" r:id="rId585" xr:uid="{C68A0B06-5475-4775-BE07-299966162869}"/>
    <hyperlink ref="H747" r:id="rId586" xr:uid="{9AEDF2F3-B935-453F-BC60-2C0ACE42D32A}"/>
    <hyperlink ref="H86" r:id="rId587" xr:uid="{F5D66B2A-2775-4244-97DD-3E65B4346AF3}"/>
    <hyperlink ref="H307" r:id="rId588" xr:uid="{A4497893-1171-4815-86BD-C40603B32235}"/>
    <hyperlink ref="H460" r:id="rId589" xr:uid="{3AF539C8-BD0A-4A03-B8E9-4FAFDF682084}"/>
    <hyperlink ref="H461" r:id="rId590" xr:uid="{1AE95B0D-1182-4067-BC51-76BF07B4EE21}"/>
    <hyperlink ref="H620" r:id="rId591" xr:uid="{14EB48A4-320C-4804-854D-1CA6A9FB1599}"/>
    <hyperlink ref="H466" r:id="rId592" xr:uid="{0114332C-788A-461F-90E7-A32021BAFC73}"/>
    <hyperlink ref="H668" r:id="rId593" xr:uid="{9C815DFE-8EB5-4FCA-A682-9E1C1E68F5CC}"/>
    <hyperlink ref="H60" r:id="rId594" xr:uid="{E2DA8169-E3C9-4F89-8D47-C3AF462D068B}"/>
    <hyperlink ref="H61" r:id="rId595" xr:uid="{965BE959-4E54-4402-8270-777B13241CD0}"/>
    <hyperlink ref="H63" r:id="rId596" xr:uid="{18D000CD-A1AF-462C-9708-83BCFFE71AA3}"/>
    <hyperlink ref="H64" r:id="rId597" xr:uid="{8459022D-A38E-4F85-AD4B-C3112ED99E1C}"/>
    <hyperlink ref="H308" r:id="rId598" xr:uid="{B58CF374-C3F4-40EB-A2B6-0A83CE4E8624}"/>
    <hyperlink ref="H820" r:id="rId599" xr:uid="{9E382C40-BD34-464E-B368-F5049E0174C5}"/>
    <hyperlink ref="H661" r:id="rId600" xr:uid="{6FF7323F-AEEE-4E5B-A28F-864F03B40B06}"/>
    <hyperlink ref="H821" r:id="rId601" xr:uid="{02BEF17A-6F54-4BFA-B116-954258F9CA5A}"/>
    <hyperlink ref="H309" r:id="rId602" xr:uid="{C2122E9F-5EAB-4D1C-8357-60DE3F637682}"/>
    <hyperlink ref="H310" r:id="rId603" xr:uid="{87DFC042-4A36-413F-B753-AC53D8F397F6}"/>
    <hyperlink ref="H600" r:id="rId604" xr:uid="{81EBDB62-1F0B-4DF4-B119-EAF47019BF27}"/>
    <hyperlink ref="H601" r:id="rId605" xr:uid="{F20ABC12-F762-47D5-B39D-9EA80FD65632}"/>
    <hyperlink ref="H311" r:id="rId606" xr:uid="{038477EB-8C97-4001-857F-E46D30099B84}"/>
    <hyperlink ref="H822" r:id="rId607" xr:uid="{2CACA94C-0F60-46D0-9ABE-7235EDC68B7C}"/>
    <hyperlink ref="H313" r:id="rId608" xr:uid="{DFE8A33C-344E-41FF-8D40-63688A0C8C52}"/>
    <hyperlink ref="H823" r:id="rId609" xr:uid="{CD0055E9-2D64-4648-8FFF-FB4BF8BC14D4}"/>
    <hyperlink ref="H824" r:id="rId610" xr:uid="{F3712E30-4707-4F44-8F22-18555D9B14DA}"/>
    <hyperlink ref="H776" r:id="rId611" xr:uid="{6D2A73A4-0F26-4449-AFAD-440D836EF20B}"/>
    <hyperlink ref="H389" r:id="rId612" xr:uid="{AD68E1A2-B021-42AE-B127-70BF5C07C4B8}"/>
    <hyperlink ref="H87" r:id="rId613" xr:uid="{CABE14C1-F633-414C-A388-37D36F7A0E5C}"/>
    <hyperlink ref="H706" r:id="rId614" xr:uid="{80249F44-6DE7-4631-81A9-436CEDCA69AB}"/>
    <hyperlink ref="H401" r:id="rId615" xr:uid="{B535BFCB-78BA-4C67-AE8F-6326FF7301AE}"/>
    <hyperlink ref="H563" r:id="rId616" xr:uid="{D4F585CD-BDC1-4886-AAE3-DFF1339A4328}"/>
    <hyperlink ref="H564" r:id="rId617" xr:uid="{9F8A6E85-56F0-45D7-A306-4E2862B314E7}"/>
    <hyperlink ref="H566" r:id="rId618" xr:uid="{352FB3ED-6C3D-47A9-BA17-081267B150D9}"/>
    <hyperlink ref="H749" r:id="rId619" xr:uid="{18386B85-3FAA-4CD6-8514-28C2AB62909F}"/>
    <hyperlink ref="H727" r:id="rId620" xr:uid="{2FAD3500-E70D-493B-B511-0490EEF3EE7F}"/>
    <hyperlink ref="H198" r:id="rId621" xr:uid="{B5473E80-8F0A-442F-96D2-1F18A873F7EC}"/>
    <hyperlink ref="H699" r:id="rId622" xr:uid="{23B8CDB4-FC61-45C6-8692-FB765A140144}"/>
    <hyperlink ref="H662" r:id="rId623" xr:uid="{FCB05BD7-52E9-4B0F-A9FB-68B85D61875B}"/>
    <hyperlink ref="H700" r:id="rId624" xr:uid="{D66C2702-7A54-49A2-9A0B-6796E77EA0CE}"/>
    <hyperlink ref="H568" r:id="rId625" xr:uid="{9154A9EB-A4A4-4F29-9D3F-9974DFBA311B}"/>
    <hyperlink ref="H569" r:id="rId626" xr:uid="{45C82BEB-C32A-4D83-AD31-9FB5157F8BDC}"/>
    <hyperlink ref="H793" r:id="rId627" xr:uid="{CF87C2E0-8613-4B5F-A210-967D58D98BC4}"/>
    <hyperlink ref="H88" r:id="rId628" xr:uid="{9E2CDFDF-B5C7-4C85-A2E7-234C2F56858E}"/>
    <hyperlink ref="H757" r:id="rId629" xr:uid="{5804F2F6-2769-43BC-99BE-A5A402BEB011}"/>
    <hyperlink ref="H750" r:id="rId630" xr:uid="{CFE916D8-AC4F-4E60-B715-A716E0275F5B}"/>
    <hyperlink ref="H687" r:id="rId631" xr:uid="{51D17DD4-FEE7-4446-8386-0D8547F47E7B}"/>
    <hyperlink ref="H314" r:id="rId632" xr:uid="{528AFF95-8F24-4729-93FD-F2D1F4C39663}"/>
    <hyperlink ref="H315" r:id="rId633" xr:uid="{699BC651-BB6B-46D1-A596-B59027F32061}"/>
    <hyperlink ref="H316" r:id="rId634" xr:uid="{2364FB7B-0EFE-4610-B0C1-A6162295924F}"/>
    <hyperlink ref="H611" r:id="rId635" xr:uid="{8980A1D3-B7E9-45FE-8E62-D81A1547D157}"/>
    <hyperlink ref="H199" r:id="rId636" xr:uid="{5B7C43C5-E153-4DC6-BAEF-919AB4C3AD72}"/>
    <hyperlink ref="H317" r:id="rId637" xr:uid="{03C9FF9E-45B5-4034-B0A3-1920B9E850CA}"/>
    <hyperlink ref="H825" r:id="rId638" xr:uid="{F8DAD47F-BE75-49B7-837A-5E5AEAFBEE81}"/>
    <hyperlink ref="H89" r:id="rId639" xr:uid="{D14CBFB1-4CD6-4F40-B137-7B5BBBD2A600}"/>
    <hyperlink ref="H543" r:id="rId640" xr:uid="{90DE818F-270E-4C25-868D-A8E9EC95427F}"/>
    <hyperlink ref="H318" r:id="rId641" xr:uid="{4DA85C78-C4E4-44D4-9711-5927792ADD54}"/>
    <hyperlink ref="H688" r:id="rId642" xr:uid="{8CFC806F-5DD8-4968-A502-B985B0108BF6}"/>
    <hyperlink ref="H570" r:id="rId643" xr:uid="{889D1F84-9FD8-442E-ADF1-AF811B98D22D}"/>
    <hyperlink ref="H689" r:id="rId644" xr:uid="{E16465EF-A311-45A8-B594-965E4A6AE555}"/>
    <hyperlink ref="H613" r:id="rId645" xr:uid="{43DCDCD9-EA55-4274-9630-054DFA1733E6}"/>
    <hyperlink ref="H826" r:id="rId646" xr:uid="{1B8601E1-4E7A-4447-AE85-AA403C602C88}"/>
    <hyperlink ref="H127" r:id="rId647" xr:uid="{24657E4D-9AC6-4C20-8515-F8FB5E122783}"/>
    <hyperlink ref="H701" r:id="rId648" xr:uid="{F3D14A14-EB6E-4A7B-B16F-AD41B3E7BE22}"/>
    <hyperlink ref="H571" r:id="rId649" xr:uid="{6DF74D09-E6D8-47B9-BFF2-1F5DD4CD5523}"/>
    <hyperlink ref="H90" r:id="rId650" xr:uid="{7C5A596A-B4BB-4ECD-A625-4753375167F2}"/>
    <hyperlink ref="H864" r:id="rId651" xr:uid="{2882C5F8-3239-466B-BF5B-B3164E7D1F35}"/>
    <hyperlink ref="H91" r:id="rId652" xr:uid="{AB782CAB-B73B-4B75-9167-2A32D610BB57}"/>
    <hyperlink ref="H383" r:id="rId653" xr:uid="{52B65CAC-0513-46E7-803B-AA8B68C11F52}"/>
    <hyperlink ref="H573" r:id="rId654" xr:uid="{26F32925-CA21-487D-B56D-6E3A9B7495C0}"/>
    <hyperlink ref="H92" r:id="rId655" xr:uid="{9D9D0E76-E462-44F3-B8D9-798C9665057E}"/>
    <hyperlink ref="H794" r:id="rId656" xr:uid="{240CCF14-6BA4-43C9-90AF-7996F0901743}"/>
    <hyperlink ref="H93" r:id="rId657" xr:uid="{00761345-2683-4E5A-8D1B-53CF45602FB0}"/>
    <hyperlink ref="H865" r:id="rId658" xr:uid="{AA97CC00-FB40-4340-B8DE-0E205C99C1C9}"/>
    <hyperlink ref="H795" r:id="rId659" xr:uid="{D14FA155-5A8D-4228-9D43-706E246C3380}"/>
    <hyperlink ref="H574" r:id="rId660" xr:uid="{54CF6A89-4D2C-4FED-BC12-FBC667A685D6}"/>
    <hyperlink ref="H369" r:id="rId661" xr:uid="{A904CCEB-453D-40C6-AE9F-95C4420811A5}"/>
    <hyperlink ref="H575" r:id="rId662" xr:uid="{BDCE1B5F-3E48-4DB9-9CA7-F685E0FB3D63}"/>
    <hyperlink ref="H576" r:id="rId663" xr:uid="{68B8A35F-93CE-4903-AE49-BB5D2758A8D2}"/>
    <hyperlink ref="H319" r:id="rId664" xr:uid="{8CDF0EDB-BD0A-4CF2-84A6-A26A467A2E79}"/>
    <hyperlink ref="H320" r:id="rId665" xr:uid="{73CC05C2-1744-47C9-9371-FD5F20743A18}"/>
    <hyperlink ref="H95" r:id="rId666" xr:uid="{BF73B119-2073-49C4-8143-A2CD6E5A2D98}"/>
    <hyperlink ref="H96" r:id="rId667" xr:uid="{CA22972F-4BF8-4BE6-A12A-E15E486AA0FD}"/>
    <hyperlink ref="H391" r:id="rId668" xr:uid="{78318335-DC82-4771-AB8D-13A5073744B0}"/>
    <hyperlink ref="H162" r:id="rId669" xr:uid="{5DA94725-6442-409C-8C64-C0EEA2D743C4}"/>
    <hyperlink ref="H500" r:id="rId670" xr:uid="{CE36727E-18FD-4D9E-A5A1-C60B2249136D}"/>
    <hyperlink ref="H321" r:id="rId671" xr:uid="{51A11073-D3B0-42BC-8743-DAC583299CED}"/>
    <hyperlink ref="H322" r:id="rId672" xr:uid="{3314957F-D180-488A-A9EE-BD06F2260EFE}"/>
    <hyperlink ref="H98" r:id="rId673" xr:uid="{4C8F6E9A-6258-43B0-A3A8-3F1E361E5369}"/>
    <hyperlink ref="H323" r:id="rId674" xr:uid="{7DC9B3FF-84CC-47F5-A2AD-A81AF281E758}"/>
    <hyperlink ref="H632" r:id="rId675" xr:uid="{5A64F80B-C627-4A0F-AA53-45C64B905572}"/>
    <hyperlink ref="H690" r:id="rId676" xr:uid="{13B90B7C-6A9C-48E4-9745-D1A1252F7450}"/>
    <hyperlink ref="H324" r:id="rId677" xr:uid="{7A235AFD-52C1-493A-929E-A9DA42576034}"/>
    <hyperlink ref="H866" r:id="rId678" xr:uid="{6AE41BEF-CC02-439C-80B1-161CADFEC090}"/>
    <hyperlink ref="H325" r:id="rId679" xr:uid="{E563C4D9-1ACD-4962-8D6A-C2112D6E1929}"/>
    <hyperlink ref="H501" r:id="rId680" xr:uid="{84B342AF-991B-4F23-96A9-9A125434F5B2}"/>
    <hyperlink ref="H326" r:id="rId681" xr:uid="{0C9199E2-951C-460E-A0AB-718948629AA2}"/>
    <hyperlink ref="H663" r:id="rId682" xr:uid="{BB46BAE0-930A-43C7-BF00-82B773FFBF0A}"/>
    <hyperlink ref="H392" r:id="rId683" xr:uid="{D26EAF2C-1D2C-4FCD-87E9-24142D7B51C0}"/>
    <hyperlink ref="H327" r:id="rId684" xr:uid="{69D06BF9-CE22-40DB-B340-71BF2025720C}"/>
    <hyperlink ref="H200" r:id="rId685" xr:uid="{5CAB07AF-BFDE-4D23-83ED-3A79789A2398}"/>
    <hyperlink ref="H409" r:id="rId686" xr:uid="{F535681D-73CA-4ED6-8FEE-0A284CCABA34}"/>
    <hyperlink ref="H328" r:id="rId687" xr:uid="{A3902D81-B4DE-4A91-803D-008F948D8013}"/>
    <hyperlink ref="H201" r:id="rId688" xr:uid="{77862226-167F-4DE7-8104-39C51739AEB9}"/>
    <hyperlink ref="H128" r:id="rId689" xr:uid="{1A33B26E-98B4-4E62-AB1F-FB6E719ABCA8}"/>
    <hyperlink ref="H796" r:id="rId690" xr:uid="{708528A5-763C-4FC5-A586-47FBF8502207}"/>
    <hyperlink ref="H329" r:id="rId691" xr:uid="{6C7DAA6F-3EDA-4261-9A6E-18324C327679}"/>
    <hyperlink ref="H330" r:id="rId692" xr:uid="{E00FD560-C970-48EA-901C-E19AC805831E}"/>
    <hyperlink ref="H502" r:id="rId693" xr:uid="{95353240-2F72-445B-9887-BE2E689DEF5A}"/>
    <hyperlink ref="H503" r:id="rId694" xr:uid="{273885E6-44B5-4212-92EA-4F15C011FFD2}"/>
    <hyperlink ref="H845" r:id="rId695" xr:uid="{3716C6E1-6B0C-4382-99F8-58E155DCDD30}"/>
    <hyperlink ref="H202" r:id="rId696" xr:uid="{64B9D971-0670-43B5-8458-BD902AF066C4}"/>
    <hyperlink ref="H512" r:id="rId697" xr:uid="{F8650F64-0FD0-4A89-A8D6-5570CD12C7D4}"/>
    <hyperlink ref="H203" r:id="rId698" xr:uid="{09EBA701-84D4-4481-9341-608F41F5C92E}"/>
    <hyperlink ref="H204" r:id="rId699" xr:uid="{F24DF966-6E59-49FF-BD2D-341EA468A336}"/>
    <hyperlink ref="H345" r:id="rId700" xr:uid="{9DFFE022-5F5F-44AD-AAA9-7DF0F4522F9F}"/>
    <hyperlink ref="H99" r:id="rId701" xr:uid="{C47BE4BF-FCCC-433F-A2FA-7A4FC09E8CE1}"/>
    <hyperlink ref="H581" r:id="rId702" xr:uid="{7C38F3F0-71AF-4F07-AFF0-3219EA7E5A8F}"/>
    <hyperlink ref="H423" r:id="rId703" xr:uid="{1CEA1890-0AE3-4859-AE31-74BF3D472195}"/>
    <hyperlink ref="H430" r:id="rId704" xr:uid="{E6881915-E7D6-47B8-9FB2-E8687AAB0A05}"/>
    <hyperlink ref="H504" r:id="rId705" xr:uid="{4B2946D3-A06D-4F5D-B7A1-4A03C93315C3}"/>
    <hyperlink ref="H505" r:id="rId706" xr:uid="{4D8CDAA8-AF93-4985-8C54-5A7ACDF22B94}"/>
    <hyperlink ref="H431" r:id="rId707" xr:uid="{BABB6078-0631-4BEC-AEAC-EA5FC76B61CE}"/>
    <hyperlink ref="H506" r:id="rId708" xr:uid="{59CDE796-0FAA-4FE9-8770-33F5649D63CD}"/>
    <hyperlink ref="H507" r:id="rId709" xr:uid="{EA1E5506-F7B6-4B85-B01E-1F883A73F9F8}"/>
    <hyperlink ref="H432" r:id="rId710" xr:uid="{AA5E0DE0-FD07-45F9-A751-CBEA5D6966AD}"/>
    <hyperlink ref="H508" r:id="rId711" xr:uid="{9A79ACD4-998E-4341-A291-F5646BF6ED6B}"/>
    <hyperlink ref="H433" r:id="rId712" xr:uid="{BBEE5716-859B-46AB-98E5-95C034948746}"/>
    <hyperlink ref="H758" r:id="rId713" xr:uid="{A81A8862-A8DF-49CF-9FDE-B0C7A3F24132}"/>
    <hyperlink ref="H435" r:id="rId714" xr:uid="{B599BED4-44C0-4B1C-A08B-E3F4C622AF5D}"/>
    <hyperlink ref="H436" r:id="rId715" xr:uid="{D50F5F1B-07C6-4426-848F-954F933F0C2B}"/>
    <hyperlink ref="H846" r:id="rId716" xr:uid="{29933D98-18B9-45B2-BECA-C5490C846E99}"/>
    <hyperlink ref="H510" r:id="rId717" xr:uid="{C6106DC3-7A54-41C1-AA43-45266DEA1724}"/>
    <hyperlink ref="H100" r:id="rId718" xr:uid="{FB8DD532-6D26-496F-BDCA-78E9E3C2FBA9}"/>
    <hyperlink ref="H437" r:id="rId719" xr:uid="{70C2D88D-58EF-42F9-B8D0-12472866AF94}"/>
    <hyperlink ref="H425" r:id="rId720" xr:uid="{97A5D40A-8B46-4A21-9BDC-FA03C00E76B1}"/>
    <hyperlink ref="H101" r:id="rId721" xr:uid="{1E70553B-E1EA-4DC7-9928-605BE5B5917D}"/>
    <hyperlink ref="H438" r:id="rId722" xr:uid="{54A78CC0-21D0-4E48-93E9-6A287B642C62}"/>
    <hyperlink ref="H440" r:id="rId723" xr:uid="{D0FD2E4A-088F-4DBC-8578-DCE37CB9AF2B}"/>
    <hyperlink ref="H129" r:id="rId724" xr:uid="{8FDFF9D9-EE55-4AF5-85F0-BBD2C95FB2A1}"/>
    <hyperlink ref="H441" r:id="rId725" xr:uid="{CE23758A-B57F-4B90-8CE5-F8E5E1D04DE8}"/>
    <hyperlink ref="H497" r:id="rId726" xr:uid="{4D373739-B2A6-40A6-A5E4-50E577153DA4}"/>
    <hyperlink ref="H442" r:id="rId727" xr:uid="{3EAC5B03-F267-4012-91CA-AEDD3C92B82C}"/>
    <hyperlink ref="H702" r:id="rId728" xr:uid="{68AEB330-979D-485F-914F-77F9E31C978F}"/>
    <hyperlink ref="H443" r:id="rId729" xr:uid="{36895EFD-C4F6-4E22-A216-664615E8837D}"/>
    <hyperlink ref="H102" r:id="rId730" xr:uid="{0DB4A410-338D-4B1B-85AE-C622D1410873}"/>
    <hyperlink ref="H726" r:id="rId731" xr:uid="{DCD4F031-836C-4DB6-890A-6B33D29E9BE4}"/>
    <hyperlink ref="H582" r:id="rId732" xr:uid="{A21D33DF-B5CC-4F47-878E-830B4FF3F4B8}"/>
    <hyperlink ref="H205" r:id="rId733" xr:uid="{AFA244FB-F9E9-4F67-882B-C64E5C617BA0}"/>
    <hyperlink ref="H867" r:id="rId734" xr:uid="{BF8E4385-7E98-4630-9505-C6D2745F8435}"/>
    <hyperlink ref="H511" r:id="rId735" xr:uid="{1F313B39-52F0-4461-8B01-8175E58889F6}"/>
    <hyperlink ref="H444" r:id="rId736" xr:uid="{E7DB90D5-E0FF-4828-BA09-6EEACFC3C068}"/>
    <hyperlink ref="H384" r:id="rId737" xr:uid="{CAF388C0-1273-451B-8041-B97EC7EBBDE5}"/>
    <hyperlink ref="H572" r:id="rId738" xr:uid="{3DC36A81-C422-4A0A-A438-5E8FEF3E1F38}"/>
    <hyperlink ref="H513" r:id="rId739" xr:uid="{2B6058BB-64E4-4848-AEAA-8914800E6904}"/>
    <hyperlink ref="H514" r:id="rId740" xr:uid="{CE017E74-A682-4857-8233-5EC7A76DA923}"/>
    <hyperlink ref="H445" r:id="rId741" xr:uid="{DA4D27DA-1DFF-4142-9350-877E2CA951D9}"/>
    <hyperlink ref="H515" r:id="rId742" xr:uid="{1D2B73CE-F490-4689-A346-E949006E71F1}"/>
    <hyperlink ref="H446" r:id="rId743" xr:uid="{1B75BEA2-F6C5-483F-8A3F-838257359C37}"/>
    <hyperlink ref="H516" r:id="rId744" xr:uid="{D6D98839-B8B5-4F9A-B6FB-C8FE2234BF63}"/>
    <hyperlink ref="H447" r:id="rId745" xr:uid="{33B6DDC9-52FA-44E9-867E-87F9F49F32B4}"/>
    <hyperlink ref="H448" r:id="rId746" xr:uid="{9491C78D-8AD2-453E-90C7-60011AA54DFE}"/>
    <hyperlink ref="H449" r:id="rId747" xr:uid="{FEDF99AE-9F1D-4A9C-B1A4-48AD0AB15367}"/>
    <hyperlink ref="H602" r:id="rId748" xr:uid="{90663F12-1757-4F9A-A69D-BAE0B32C848D}"/>
    <hyperlink ref="H518" r:id="rId749" xr:uid="{CFB5BB7D-FCC0-478E-9E49-C536E6807259}"/>
    <hyperlink ref="H373" r:id="rId750" xr:uid="{5EDE6165-AD9B-40A1-B64D-FBE265B57D55}"/>
    <hyperlink ref="H519" r:id="rId751" xr:uid="{0AE712C2-684A-483C-892D-0C1D82CEF68A}"/>
    <hyperlink ref="H450" r:id="rId752" xr:uid="{1E135BD3-A300-41B4-A642-E4935F5E5B10}"/>
    <hyperlink ref="H520" r:id="rId753" xr:uid="{634E1E19-EF94-49B3-9C2E-E8E64853B973}"/>
    <hyperlink ref="H521" r:id="rId754" xr:uid="{B3BCF0E7-515A-4953-B570-F2202E6C1685}"/>
    <hyperlink ref="H868" r:id="rId755" xr:uid="{47D44D68-BE0C-4B76-96CB-556D3E93BAC2}"/>
    <hyperlink ref="H522" r:id="rId756" xr:uid="{AAC42F9B-B1B0-4996-B117-BC9D2D34F801}"/>
    <hyperlink ref="H523" r:id="rId757" xr:uid="{82CA6640-44B3-475D-BBE9-D6E8C429AAEE}"/>
    <hyperlink ref="H691" r:id="rId758" xr:uid="{A313DB36-7216-464C-968C-DAA448596AD2}"/>
    <hyperlink ref="H524" r:id="rId759" xr:uid="{D20CD4DB-457F-4E60-9AA7-205E6BCDD558}"/>
    <hyperlink ref="H533" r:id="rId760" xr:uid="{C1BBCCDF-6B17-439F-AC82-811602472FB3}"/>
    <hyperlink ref="H869" r:id="rId761" xr:uid="{1CAA19C8-5A28-45E2-A361-649C42C43C9C}"/>
    <hyperlink ref="H612" r:id="rId762" xr:uid="{16F1F893-DC93-42C4-AB1B-46ACAE411D9B}"/>
    <hyperlink ref="H410" r:id="rId763" xr:uid="{C944BD37-13B0-45F7-A34D-4CD6645A191E}"/>
    <hyperlink ref="H728" r:id="rId764" xr:uid="{5D3FA727-997C-4FD8-8B99-30DFE0DD9C03}"/>
    <hyperlink ref="H525" r:id="rId765" xr:uid="{80113870-24C5-4321-A0CD-F82EB15FD710}"/>
    <hyperlink ref="H527" r:id="rId766" xr:uid="{E5F55F97-B555-4855-9352-D437E185F7A9}"/>
    <hyperlink ref="H847" r:id="rId767" xr:uid="{3815C766-C97C-4B58-887E-CF25B51AFEE5}"/>
    <hyperlink ref="H206" r:id="rId768" xr:uid="{4DE2C2B9-9ADF-44E8-B98B-C0FED8FFC81E}"/>
    <hyperlink ref="H529" r:id="rId769" xr:uid="{B546EEFF-54D4-42B4-8145-FA38E4CED6BD}"/>
    <hyperlink ref="H530" r:id="rId770" xr:uid="{70665CA1-D711-4F42-AD4F-44DD692B7094}"/>
    <hyperlink ref="H531" r:id="rId771" xr:uid="{81B6F328-7964-4C87-90F1-182A6AD6F382}"/>
    <hyperlink ref="H827" r:id="rId772" xr:uid="{10A9617D-C90E-40F4-BEEA-1BB6A9AB6A96}"/>
    <hyperlink ref="H584" r:id="rId773" xr:uid="{6B57D0F6-49C7-491F-A706-43EF1E053867}"/>
    <hyperlink ref="H848" r:id="rId774" xr:uid="{4B3261E1-440B-49FC-B498-882D557BCA06}"/>
    <hyperlink ref="H439" r:id="rId775" xr:uid="{70FB6A8C-C7B8-4F64-A6DF-D5DB75335D12}"/>
    <hyperlink ref="H844" r:id="rId776" xr:uid="{683FCE72-61AD-4D35-8588-5DBC8B661405}"/>
    <hyperlink ref="H692" r:id="rId777" xr:uid="{D473EB6F-E3F4-477B-90E1-500BB38774F5}"/>
    <hyperlink ref="H703" r:id="rId778" xr:uid="{A1F96FFB-C191-4A9C-BEC9-59539C427D11}"/>
    <hyperlink ref="H207" r:id="rId779" xr:uid="{DDCBFA82-8B08-4064-A3FA-EBCA56F90010}"/>
    <hyperlink ref="H208" r:id="rId780" xr:uid="{04CF5AA8-2786-4AD4-BC41-D89295CFBC0E}"/>
    <hyperlink ref="H704" r:id="rId781" xr:uid="{296216C4-E574-4F21-989A-8E6B5F4FC3E4}"/>
    <hyperlink ref="H786" r:id="rId782" xr:uid="{56D18CC8-34AB-41AC-934F-923271673E6F}"/>
    <hyperlink ref="H209" r:id="rId783" xr:uid="{3A303863-4697-454F-9376-F0A3F9DAE0BF}"/>
    <hyperlink ref="H103" r:id="rId784" xr:uid="{1D137C8C-B860-4359-B6C8-D44BBD5FD391}"/>
    <hyperlink ref="H759" r:id="rId785" xr:uid="{BA05FEA9-3909-408D-88DD-2127797382A8}"/>
    <hyperlink ref="H352" r:id="rId786" xr:uid="{89F1AA3B-874C-4F58-973D-57D0A1A9F2E5}"/>
    <hyperlink ref="H705" r:id="rId787" xr:uid="{ED780E6E-E418-42D0-A06E-8C9E13DEC969}"/>
    <hyperlink ref="H707" r:id="rId788" xr:uid="{D94A0E06-3830-4BFC-9400-86D79671BBB1}"/>
    <hyperlink ref="H532" r:id="rId789" xr:uid="{17B4C79F-E88C-4E70-A6C7-B2FC453E4CED}"/>
    <hyperlink ref="H210" r:id="rId790" xr:uid="{FCEA2D96-B72B-4626-9155-578EF9F727A8}"/>
    <hyperlink ref="H361" r:id="rId791" xr:uid="{2BB55A8E-BFC8-429A-9645-A27845D0883B}"/>
    <hyperlink ref="H534" r:id="rId792" xr:uid="{FEFC4A19-1717-491F-B1A4-18DA3046D259}"/>
    <hyperlink ref="H105" r:id="rId793" xr:uid="{BE658EA9-01D3-43D4-A0B5-F8CDA081B20D}"/>
    <hyperlink ref="H849" r:id="rId794" xr:uid="{B4328F32-4D1B-4F32-BAA9-868D63B91016}"/>
    <hyperlink ref="H850" r:id="rId795" xr:uid="{EDF8C85A-2B52-4998-B26F-FF9DB19BBC2E}"/>
    <hyperlink ref="H130" r:id="rId796" xr:uid="{03C48AC1-2AF7-4616-BD72-4F3B508DC3CF}"/>
    <hyperlink ref="H535" r:id="rId797" xr:uid="{9CC5B8BA-400C-4D03-853E-866452566BA1}"/>
    <hyperlink ref="H693" r:id="rId798" xr:uid="{A2BA5A6E-75CF-46DF-9E70-CAEC4B0F2BFC}"/>
    <hyperlink ref="H871" r:id="rId799" xr:uid="{CC7A231C-191D-4529-B268-1B6977F8C9A7}"/>
    <hyperlink ref="H760" r:id="rId800" xr:uid="{4A34348A-1993-4688-91F4-6D1C1F665BF9}"/>
    <hyperlink ref="H664" r:id="rId801" xr:uid="{F718267A-7F6E-4C21-A4F7-EFB98BD1AB8E}"/>
    <hyperlink ref="H665" r:id="rId802" xr:uid="{DC8EE864-3019-419E-927C-48BA69B254A2}"/>
    <hyperlink ref="H51" r:id="rId803" xr:uid="{7BCCD1F8-0E15-4A3B-9AA4-2C71489AE987}"/>
    <hyperlink ref="H459" r:id="rId804" xr:uid="{64157B0D-462D-4E9A-99FD-953D0547EF03}"/>
    <hyperlink ref="H719" r:id="rId805" xr:uid="{181F7EA9-4187-40F2-9022-ACD0FCBD8ACF}"/>
    <hyperlink ref="H154" r:id="rId806" xr:uid="{5B153FB7-AD3C-47B7-B685-5C07CA1DBAC4}"/>
    <hyperlink ref="H216" r:id="rId807" xr:uid="{67AA9205-9214-48B6-876B-F13118076F34}"/>
    <hyperlink ref="H768" r:id="rId808" xr:uid="{13D25712-D6DE-4522-B437-D61CD6541803}"/>
    <hyperlink ref="H462" r:id="rId809" xr:uid="{3FAB355D-78B7-4631-9377-915ADCEF8E8E}"/>
    <hyperlink ref="H31" r:id="rId810" xr:uid="{C465174A-C97F-4D31-9BEF-EE570D62A1B3}"/>
    <hyperlink ref="H614" r:id="rId811" xr:uid="{176E67BA-A195-45A0-8A9C-6E2C94FAF730}"/>
    <hyperlink ref="H52" r:id="rId812" xr:uid="{78053157-E7BA-41BF-97D6-28D4C6D9BF27}"/>
    <hyperlink ref="H54" r:id="rId813" xr:uid="{7272E76D-0033-408E-B332-83CF086CC52B}"/>
    <hyperlink ref="H19" r:id="rId814" xr:uid="{4F36461F-3687-4486-AAEB-C628256CE9B4}"/>
    <hyperlink ref="H616" r:id="rId815" xr:uid="{A9A5301E-42BA-4D76-9C4D-36ED9055D993}"/>
    <hyperlink ref="H33" r:id="rId816" xr:uid="{FEEE9E71-0A85-4E89-B0F5-2BCCB9B6700A}"/>
    <hyperlink ref="H343" r:id="rId817" xr:uid="{B449A830-9287-4F39-973E-BFF610A4D087}"/>
    <hyperlink ref="H21" r:id="rId818" xr:uid="{3A855224-4478-47B4-968E-3EB3193205C5}"/>
    <hyperlink ref="H22" r:id="rId819" xr:uid="{F8DAB0F0-5DF0-47C9-B3FC-F7B370C46B5C}"/>
    <hyperlink ref="H23" r:id="rId820" xr:uid="{C4A70ADA-CE7A-4A73-BB0E-C890E9090373}"/>
    <hyperlink ref="H630" r:id="rId821" xr:uid="{F8C432AF-7D03-4ED4-AC06-37AAB9B2B370}"/>
    <hyperlink ref="H56" r:id="rId822" xr:uid="{173DBD72-E737-4993-A4ED-B817EADAE2DB}"/>
    <hyperlink ref="H331" r:id="rId823" xr:uid="{C189A5D5-30E9-4044-9853-A91701F4D04E}"/>
    <hyperlink ref="H25" r:id="rId824" xr:uid="{5BF9050A-FBB3-49DA-8A34-3768C4E55D9F}"/>
  </hyperlinks>
  <pageMargins left="0.75" right="0.75" top="1" bottom="1" header="0.5" footer="0.5"/>
  <pageSetup paperSize="9" orientation="portrait" r:id="rId825"/>
  <tableParts count="1">
    <tablePart r:id="rId8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5D3-2216-4137-AA29-9637F9BCC92B}">
  <dimension ref="A1:I101"/>
  <sheetViews>
    <sheetView zoomScaleNormal="100" workbookViewId="0">
      <selection activeCell="G27" sqref="G27"/>
    </sheetView>
  </sheetViews>
  <sheetFormatPr baseColWidth="10" defaultColWidth="11.42578125" defaultRowHeight="15" x14ac:dyDescent="0.25"/>
  <cols>
    <col min="2" max="2" width="30.28515625" bestFit="1" customWidth="1"/>
  </cols>
  <sheetData>
    <row r="1" spans="1:9" s="4" customFormat="1" x14ac:dyDescent="0.25">
      <c r="A1" s="4" t="s">
        <v>2085</v>
      </c>
      <c r="B1" s="4">
        <v>1</v>
      </c>
      <c r="C1" s="4">
        <v>2</v>
      </c>
      <c r="D1" s="4">
        <v>3</v>
      </c>
      <c r="E1" s="4">
        <v>4</v>
      </c>
    </row>
    <row r="2" spans="1:9" x14ac:dyDescent="0.25">
      <c r="B2">
        <f>COUNTIFS(Tabelle1[[#All],[Dis. type]], B1, Tabelle1[[#All],[Valid]], "Yes")</f>
        <v>92</v>
      </c>
      <c r="C2">
        <f>COUNTIFS(Tabelle1[[#All],[Dis. type]], C1, Tabelle1[[#All],[Valid]], "Yes")</f>
        <v>33</v>
      </c>
      <c r="D2">
        <f>COUNTIFS(Tabelle1[[#All],[Dis. type]], D1, Tabelle1[[#All],[Valid]], "Yes")</f>
        <v>2</v>
      </c>
      <c r="E2">
        <f>COUNTIFS(Tabelle1[[#All],[Dis. type]], E1, Tabelle1[[#All],[Valid]], "Yes")</f>
        <v>32</v>
      </c>
    </row>
    <row r="3" spans="1:9" x14ac:dyDescent="0.25">
      <c r="A3" t="s">
        <v>7</v>
      </c>
      <c r="B3" t="s">
        <v>1934</v>
      </c>
      <c r="C3" t="s">
        <v>1932</v>
      </c>
      <c r="D3" t="s">
        <v>1937</v>
      </c>
    </row>
    <row r="4" spans="1:9" x14ac:dyDescent="0.25">
      <c r="B4">
        <f>COUNTIF(Tabelle1[[#All],[Valid]], Statistics!B3)</f>
        <v>167</v>
      </c>
      <c r="C4">
        <f>COUNTIF(Tabelle1[[#All],[Valid]], Statistics!C3)</f>
        <v>703</v>
      </c>
      <c r="D4">
        <f>COUNTIF(Tabelle1[[#All],[Valid]], Statistics!D3)</f>
        <v>0</v>
      </c>
    </row>
    <row r="6" spans="1:9" x14ac:dyDescent="0.25">
      <c r="A6" t="s">
        <v>2118</v>
      </c>
      <c r="B6" t="str" cm="1">
        <f t="array" ref="B6:B57">_xlfn.UNIQUE(Tabelle1[Reason])</f>
        <v>not a FP</v>
      </c>
      <c r="C6">
        <f>COUNTIFS(Tabelle1[[#All],[Reason]],Statistics!B6, Tabelle1[[#All],[Valid]], "No")</f>
        <v>3</v>
      </c>
      <c r="E6" t="str">
        <f t="shared" ref="E6:E37" si="0">IF($C6=0, "", B6)</f>
        <v>not a FP</v>
      </c>
      <c r="F6">
        <f t="shared" ref="F6:F37" si="1">IF($C6=0, "", C6)</f>
        <v>3</v>
      </c>
      <c r="H6" t="str" cm="1">
        <f t="array" ref="H6:I101">_xlfn.SORTBY(E6:F101, F6:F101, -1)</f>
        <v/>
      </c>
      <c r="I6" t="str">
        <v/>
      </c>
    </row>
    <row r="7" spans="1:9" x14ac:dyDescent="0.25">
      <c r="A7" t="s">
        <v>2124</v>
      </c>
      <c r="B7" t="str">
        <v>short FP</v>
      </c>
      <c r="C7">
        <f>COUNTIFS(Tabelle1[[#All],[Reason]],Statistics!B7, Tabelle1[[#All],[Valid]], "No")</f>
        <v>39</v>
      </c>
      <c r="E7" t="str">
        <f t="shared" si="0"/>
        <v>short FP</v>
      </c>
      <c r="F7">
        <f t="shared" si="1"/>
        <v>39</v>
      </c>
      <c r="H7" t="str">
        <v/>
      </c>
      <c r="I7" t="str">
        <v/>
      </c>
    </row>
    <row r="8" spans="1:9" x14ac:dyDescent="0.25">
      <c r="B8" t="str">
        <v>other df</v>
      </c>
      <c r="C8">
        <f>COUNTIFS(Tabelle1[[#All],[Reason]],Statistics!B8, Tabelle1[[#All],[Valid]], "No")</f>
        <v>198</v>
      </c>
      <c r="E8" t="str">
        <f t="shared" si="0"/>
        <v>other df</v>
      </c>
      <c r="F8">
        <f t="shared" si="1"/>
        <v>198</v>
      </c>
      <c r="H8" t="str">
        <v/>
      </c>
      <c r="I8" t="str">
        <v/>
      </c>
    </row>
    <row r="9" spans="1:9" x14ac:dyDescent="0.25">
      <c r="B9" t="str">
        <v>answer</v>
      </c>
      <c r="C9">
        <f>COUNTIFS(Tabelle1[[#All],[Reason]],Statistics!B9, Tabelle1[[#All],[Valid]], "No")</f>
        <v>12</v>
      </c>
      <c r="E9" t="str">
        <f t="shared" si="0"/>
        <v>answer</v>
      </c>
      <c r="F9">
        <f t="shared" si="1"/>
        <v>12</v>
      </c>
      <c r="H9" t="str">
        <v/>
      </c>
      <c r="I9" t="str">
        <v/>
      </c>
    </row>
    <row r="10" spans="1:9" x14ac:dyDescent="0.25">
      <c r="B10">
        <v>0</v>
      </c>
      <c r="C10">
        <f>COUNTIFS(Tabelle1[[#All],[Reason]],Statistics!B10, Tabelle1[[#All],[Valid]], "No")</f>
        <v>0</v>
      </c>
      <c r="E10" t="str">
        <f t="shared" si="0"/>
        <v/>
      </c>
      <c r="F10" t="str">
        <f t="shared" si="1"/>
        <v/>
      </c>
      <c r="H10" t="str">
        <v/>
      </c>
      <c r="I10" t="str">
        <v/>
      </c>
    </row>
    <row r="11" spans="1:9" x14ac:dyDescent="0.25">
      <c r="B11" t="str">
        <v>not enough speech</v>
      </c>
      <c r="C11">
        <f>COUNTIFS(Tabelle1[[#All],[Reason]],Statistics!B11, Tabelle1[[#All],[Valid]], "No")</f>
        <v>27</v>
      </c>
      <c r="E11" t="str">
        <f t="shared" si="0"/>
        <v>not enough speech</v>
      </c>
      <c r="F11">
        <f t="shared" si="1"/>
        <v>27</v>
      </c>
      <c r="H11" t="str">
        <v/>
      </c>
      <c r="I11" t="str">
        <v/>
      </c>
    </row>
    <row r="12" spans="1:9" x14ac:dyDescent="0.25">
      <c r="B12" t="str">
        <v>double talk</v>
      </c>
      <c r="C12">
        <f>COUNTIFS(Tabelle1[[#All],[Reason]],Statistics!B12, Tabelle1[[#All],[Valid]], "No")</f>
        <v>74</v>
      </c>
      <c r="E12" t="str">
        <f t="shared" si="0"/>
        <v>double talk</v>
      </c>
      <c r="F12">
        <f t="shared" si="1"/>
        <v>74</v>
      </c>
      <c r="H12" t="str">
        <v/>
      </c>
      <c r="I12" t="str">
        <v/>
      </c>
    </row>
    <row r="13" spans="1:9" x14ac:dyDescent="0.25">
      <c r="B13" t="str">
        <v>long pause</v>
      </c>
      <c r="C13">
        <f>COUNTIFS(Tabelle1[[#All],[Reason]],Statistics!B13, Tabelle1[[#All],[Valid]], "No")</f>
        <v>9</v>
      </c>
      <c r="E13" t="str">
        <f t="shared" si="0"/>
        <v>long pause</v>
      </c>
      <c r="F13">
        <f t="shared" si="1"/>
        <v>9</v>
      </c>
      <c r="H13" t="str">
        <v/>
      </c>
      <c r="I13" t="str">
        <v/>
      </c>
    </row>
    <row r="14" spans="1:9" x14ac:dyDescent="0.25">
      <c r="B14" t="str">
        <v>name</v>
      </c>
      <c r="C14">
        <f>COUNTIFS(Tabelle1[[#All],[Reason]],Statistics!B14, Tabelle1[[#All],[Valid]], "No")</f>
        <v>25</v>
      </c>
      <c r="E14" t="str">
        <f t="shared" si="0"/>
        <v>name</v>
      </c>
      <c r="F14">
        <f t="shared" si="1"/>
        <v>25</v>
      </c>
      <c r="H14" t="str">
        <v/>
      </c>
      <c r="I14" t="str">
        <v/>
      </c>
    </row>
    <row r="15" spans="1:9" x14ac:dyDescent="0.25">
      <c r="B15" t="str">
        <v>need more</v>
      </c>
      <c r="C15">
        <f>COUNTIFS(Tabelle1[[#All],[Reason]],Statistics!B15, Tabelle1[[#All],[Valid]], "No")</f>
        <v>3</v>
      </c>
      <c r="E15" t="str">
        <f t="shared" si="0"/>
        <v>need more</v>
      </c>
      <c r="F15">
        <f t="shared" si="1"/>
        <v>3</v>
      </c>
      <c r="H15" t="str">
        <v/>
      </c>
      <c r="I15" t="str">
        <v/>
      </c>
    </row>
    <row r="16" spans="1:9" x14ac:dyDescent="0.25">
      <c r="B16" t="str">
        <v>rare word</v>
      </c>
      <c r="C16">
        <f>COUNTIFS(Tabelle1[[#All],[Reason]],Statistics!B16, Tabelle1[[#All],[Valid]], "No")</f>
        <v>40</v>
      </c>
      <c r="E16" t="str">
        <f t="shared" si="0"/>
        <v>rare word</v>
      </c>
      <c r="F16">
        <f t="shared" si="1"/>
        <v>40</v>
      </c>
      <c r="H16" t="str">
        <v/>
      </c>
      <c r="I16" t="str">
        <v/>
      </c>
    </row>
    <row r="17" spans="2:9" x14ac:dyDescent="0.25">
      <c r="B17" t="str">
        <v>short after</v>
      </c>
      <c r="C17">
        <f>COUNTIFS(Tabelle1[[#All],[Reason]],Statistics!B17, Tabelle1[[#All],[Valid]], "No")</f>
        <v>8</v>
      </c>
      <c r="E17" t="str">
        <f t="shared" si="0"/>
        <v>short after</v>
      </c>
      <c r="F17">
        <f t="shared" si="1"/>
        <v>8</v>
      </c>
      <c r="H17" t="str">
        <v/>
      </c>
      <c r="I17" t="str">
        <v/>
      </c>
    </row>
    <row r="18" spans="2:9" x14ac:dyDescent="0.25">
      <c r="B18" t="str">
        <v>disruption at wrong point</v>
      </c>
      <c r="C18">
        <f>COUNTIFS(Tabelle1[[#All],[Reason]],Statistics!B18, Tabelle1[[#All],[Valid]], "No")</f>
        <v>4</v>
      </c>
      <c r="E18" t="str">
        <f t="shared" si="0"/>
        <v>disruption at wrong point</v>
      </c>
      <c r="F18">
        <f t="shared" si="1"/>
        <v>4</v>
      </c>
      <c r="H18" t="str">
        <v/>
      </c>
      <c r="I18" t="str">
        <v/>
      </c>
    </row>
    <row r="19" spans="2:9" x14ac:dyDescent="0.25">
      <c r="B19" t="str">
        <v>pause und aber da weg</v>
      </c>
      <c r="C19">
        <f>COUNTIFS(Tabelle1[[#All],[Reason]],Statistics!B19, Tabelle1[[#All],[Valid]], "No")</f>
        <v>0</v>
      </c>
      <c r="E19" t="str">
        <f t="shared" si="0"/>
        <v/>
      </c>
      <c r="F19" t="str">
        <f t="shared" si="1"/>
        <v/>
      </c>
      <c r="H19" t="str">
        <v/>
      </c>
      <c r="I19" t="str">
        <v/>
      </c>
    </row>
    <row r="20" spans="2:9" x14ac:dyDescent="0.25">
      <c r="B20" t="str">
        <v>hard to understand</v>
      </c>
      <c r="C20">
        <f>COUNTIFS(Tabelle1[[#All],[Reason]],Statistics!B20, Tabelle1[[#All],[Valid]], "No")</f>
        <v>49</v>
      </c>
      <c r="E20" t="str">
        <f t="shared" si="0"/>
        <v>hard to understand</v>
      </c>
      <c r="F20">
        <f t="shared" si="1"/>
        <v>49</v>
      </c>
      <c r="H20" t="str">
        <v/>
      </c>
      <c r="I20" t="str">
        <v/>
      </c>
    </row>
    <row r="21" spans="2:9" x14ac:dyDescent="0.25">
      <c r="B21" t="str">
        <v>initial FP</v>
      </c>
      <c r="C21">
        <f>COUNTIFS(Tabelle1[[#All],[Reason]],Statistics!B21, Tabelle1[[#All],[Valid]], "No")</f>
        <v>50</v>
      </c>
      <c r="E21" t="str">
        <f t="shared" si="0"/>
        <v>initial FP</v>
      </c>
      <c r="F21">
        <f t="shared" si="1"/>
        <v>50</v>
      </c>
      <c r="H21" t="str">
        <v/>
      </c>
      <c r="I21" t="str">
        <v/>
      </c>
    </row>
    <row r="22" spans="2:9" x14ac:dyDescent="0.25">
      <c r="B22" t="str">
        <v>spelling</v>
      </c>
      <c r="C22">
        <f>COUNTIFS(Tabelle1[[#All],[Reason]],Statistics!B22, Tabelle1[[#All],[Valid]], "No")</f>
        <v>2</v>
      </c>
      <c r="E22" t="str">
        <f t="shared" si="0"/>
        <v>spelling</v>
      </c>
      <c r="F22">
        <f t="shared" si="1"/>
        <v>2</v>
      </c>
      <c r="H22" t="str">
        <v/>
      </c>
      <c r="I22" t="str">
        <v/>
      </c>
    </row>
    <row r="23" spans="2:9" x14ac:dyDescent="0.25">
      <c r="B23" t="str">
        <v>broken word</v>
      </c>
      <c r="C23">
        <f>COUNTIFS(Tabelle1[[#All],[Reason]],Statistics!B23, Tabelle1[[#All],[Valid]], "No")</f>
        <v>8</v>
      </c>
      <c r="E23" t="str">
        <f t="shared" si="0"/>
        <v>broken word</v>
      </c>
      <c r="F23">
        <f t="shared" si="1"/>
        <v>8</v>
      </c>
      <c r="H23" t="str">
        <v/>
      </c>
      <c r="I23" t="str">
        <v/>
      </c>
    </row>
    <row r="24" spans="2:9" x14ac:dyDescent="0.25">
      <c r="B24" t="str">
        <v>und äh</v>
      </c>
      <c r="C24">
        <f>COUNTIFS(Tabelle1[[#All],[Reason]],Statistics!B24, Tabelle1[[#All],[Valid]], "No")</f>
        <v>36</v>
      </c>
      <c r="E24" t="str">
        <f t="shared" si="0"/>
        <v>und äh</v>
      </c>
      <c r="F24">
        <f t="shared" si="1"/>
        <v>36</v>
      </c>
      <c r="H24" t="str">
        <v/>
      </c>
      <c r="I24" t="str">
        <v/>
      </c>
    </row>
    <row r="25" spans="2:9" x14ac:dyDescent="0.25">
      <c r="B25" t="str">
        <v>glued</v>
      </c>
      <c r="C25">
        <f>COUNTIFS(Tabelle1[[#All],[Reason]],Statistics!B25, Tabelle1[[#All],[Valid]], "No")</f>
        <v>7</v>
      </c>
      <c r="E25" t="str">
        <f t="shared" si="0"/>
        <v>glued</v>
      </c>
      <c r="F25">
        <f t="shared" si="1"/>
        <v>7</v>
      </c>
      <c r="H25" t="str">
        <v/>
      </c>
      <c r="I25" t="str">
        <v/>
      </c>
    </row>
    <row r="26" spans="2:9" x14ac:dyDescent="0.25">
      <c r="B26" t="str">
        <v>"im" almost not there</v>
      </c>
      <c r="C26">
        <f>COUNTIFS(Tabelle1[[#All],[Reason]],Statistics!B26, Tabelle1[[#All],[Valid]], "No")</f>
        <v>0</v>
      </c>
      <c r="E26" t="str">
        <f t="shared" si="0"/>
        <v/>
      </c>
      <c r="F26" t="str">
        <f t="shared" si="1"/>
        <v/>
      </c>
      <c r="H26" t="str">
        <v/>
      </c>
      <c r="I26" t="str">
        <v/>
      </c>
    </row>
    <row r="27" spans="2:9" x14ac:dyDescent="0.25">
      <c r="B27" t="str">
        <v>repetition</v>
      </c>
      <c r="C27">
        <f>COUNTIFS(Tabelle1[[#All],[Reason]],Statistics!B27, Tabelle1[[#All],[Valid]], "No")</f>
        <v>21</v>
      </c>
      <c r="E27" t="str">
        <f t="shared" si="0"/>
        <v>repetition</v>
      </c>
      <c r="F27">
        <f t="shared" si="1"/>
        <v>21</v>
      </c>
      <c r="H27" t="str">
        <v/>
      </c>
      <c r="I27" t="str">
        <v/>
      </c>
    </row>
    <row r="28" spans="2:9" x14ac:dyDescent="0.25">
      <c r="B28" t="str">
        <v>short before</v>
      </c>
      <c r="C28">
        <f>COUNTIFS(Tabelle1[[#All],[Reason]],Statistics!B28, Tabelle1[[#All],[Valid]], "No")</f>
        <v>2</v>
      </c>
      <c r="E28" t="str">
        <f t="shared" si="0"/>
        <v>short before</v>
      </c>
      <c r="F28">
        <f t="shared" si="1"/>
        <v>2</v>
      </c>
      <c r="H28" t="str">
        <v/>
      </c>
      <c r="I28" t="str">
        <v/>
      </c>
    </row>
    <row r="29" spans="2:9" x14ac:dyDescent="0.25">
      <c r="B29" t="str">
        <v>Marke Meerschweinchen</v>
      </c>
      <c r="C29">
        <f>COUNTIFS(Tabelle1[[#All],[Reason]],Statistics!B29, Tabelle1[[#All],[Valid]], "No")</f>
        <v>1</v>
      </c>
      <c r="E29" t="str">
        <f t="shared" si="0"/>
        <v>Marke Meerschweinchen</v>
      </c>
      <c r="F29">
        <f t="shared" si="1"/>
        <v>1</v>
      </c>
      <c r="H29" t="str">
        <v/>
      </c>
      <c r="I29" t="str">
        <v/>
      </c>
    </row>
    <row r="30" spans="2:9" x14ac:dyDescent="0.25">
      <c r="B30" t="str">
        <v>eh</v>
      </c>
      <c r="C30">
        <f>COUNTIFS(Tabelle1[[#All],[Reason]],Statistics!B30, Tabelle1[[#All],[Valid]], "No")</f>
        <v>2</v>
      </c>
      <c r="E30" t="str">
        <f t="shared" si="0"/>
        <v>eh</v>
      </c>
      <c r="F30">
        <f t="shared" si="1"/>
        <v>2</v>
      </c>
      <c r="H30" t="str">
        <v/>
      </c>
      <c r="I30" t="str">
        <v/>
      </c>
    </row>
    <row r="31" spans="2:9" x14ac:dyDescent="0.25">
      <c r="B31" t="str">
        <v>not for sensitive audiences</v>
      </c>
      <c r="C31">
        <f>COUNTIFS(Tabelle1[[#All],[Reason]],Statistics!B31, Tabelle1[[#All],[Valid]], "No")</f>
        <v>2</v>
      </c>
      <c r="E31" t="str">
        <f t="shared" si="0"/>
        <v>not for sensitive audiences</v>
      </c>
      <c r="F31">
        <f t="shared" si="1"/>
        <v>2</v>
      </c>
      <c r="H31" t="str">
        <v/>
      </c>
      <c r="I31" t="str">
        <v/>
      </c>
    </row>
    <row r="32" spans="2:9" x14ac:dyDescent="0.25">
      <c r="B32" t="str">
        <v>laughter</v>
      </c>
      <c r="C32">
        <f>COUNTIFS(Tabelle1[[#All],[Reason]],Statistics!B32, Tabelle1[[#All],[Valid]], "No")</f>
        <v>30</v>
      </c>
      <c r="E32" t="str">
        <f t="shared" si="0"/>
        <v>laughter</v>
      </c>
      <c r="F32">
        <f t="shared" si="1"/>
        <v>30</v>
      </c>
      <c r="H32" t="str">
        <v/>
      </c>
      <c r="I32" t="str">
        <v/>
      </c>
    </row>
    <row r="33" spans="2:9" x14ac:dyDescent="0.25">
      <c r="B33" t="str">
        <v>cough</v>
      </c>
      <c r="C33">
        <f>COUNTIFS(Tabelle1[[#All],[Reason]],Statistics!B33, Tabelle1[[#All],[Valid]], "No")</f>
        <v>1</v>
      </c>
      <c r="E33" t="str">
        <f t="shared" si="0"/>
        <v>cough</v>
      </c>
      <c r="F33">
        <f t="shared" si="1"/>
        <v>1</v>
      </c>
      <c r="H33" t="str">
        <v/>
      </c>
      <c r="I33" t="str">
        <v/>
      </c>
    </row>
    <row r="34" spans="2:9" x14ac:dyDescent="0.25">
      <c r="B34" t="str">
        <v>not a fitting case</v>
      </c>
      <c r="C34">
        <f>COUNTIFS(Tabelle1[[#All],[Reason]],Statistics!B34, Tabelle1[[#All],[Valid]], "No")</f>
        <v>1</v>
      </c>
      <c r="E34" t="str">
        <f t="shared" si="0"/>
        <v>not a fitting case</v>
      </c>
      <c r="F34">
        <f t="shared" si="1"/>
        <v>1</v>
      </c>
      <c r="H34" t="str">
        <v/>
      </c>
      <c r="I34" t="str">
        <v/>
      </c>
    </row>
    <row r="35" spans="2:9" x14ac:dyDescent="0.25">
      <c r="B35" t="str">
        <v>closing FP</v>
      </c>
      <c r="C35">
        <f>COUNTIFS(Tabelle1[[#All],[Reason]],Statistics!B35, Tabelle1[[#All],[Valid]], "No")</f>
        <v>7</v>
      </c>
      <c r="E35" t="str">
        <f t="shared" si="0"/>
        <v>closing FP</v>
      </c>
      <c r="F35">
        <f t="shared" si="1"/>
        <v>7</v>
      </c>
      <c r="H35" t="str">
        <v/>
      </c>
      <c r="I35" t="str">
        <v/>
      </c>
    </row>
    <row r="36" spans="2:9" x14ac:dyDescent="0.25">
      <c r="B36" t="str">
        <v>not sure which case</v>
      </c>
      <c r="C36">
        <f>COUNTIFS(Tabelle1[[#All],[Reason]],Statistics!B36, Tabelle1[[#All],[Valid]], "No")</f>
        <v>3</v>
      </c>
      <c r="E36" t="str">
        <f t="shared" si="0"/>
        <v>not sure which case</v>
      </c>
      <c r="F36">
        <f t="shared" si="1"/>
        <v>3</v>
      </c>
      <c r="H36" t="str">
        <v/>
      </c>
      <c r="I36" t="str">
        <v/>
      </c>
    </row>
    <row r="37" spans="2:9" x14ac:dyDescent="0.25">
      <c r="B37" t="str">
        <v>english</v>
      </c>
      <c r="C37">
        <f>COUNTIFS(Tabelle1[[#All],[Reason]],Statistics!B37, Tabelle1[[#All],[Valid]], "No")</f>
        <v>6</v>
      </c>
      <c r="E37" t="str">
        <f t="shared" si="0"/>
        <v>english</v>
      </c>
      <c r="F37">
        <f t="shared" si="1"/>
        <v>6</v>
      </c>
      <c r="H37" t="str">
        <v/>
      </c>
      <c r="I37" t="str">
        <v/>
      </c>
    </row>
    <row r="38" spans="2:9" x14ac:dyDescent="0.25">
      <c r="B38" t="str">
        <v>unglückliche Verkettung…</v>
      </c>
      <c r="C38">
        <f>COUNTIFS(Tabelle1[[#All],[Reason]],Statistics!B38, Tabelle1[[#All],[Valid]], "No")</f>
        <v>2</v>
      </c>
      <c r="E38" t="str">
        <f t="shared" ref="E38:E69" si="2">IF($C38=0, "", B38)</f>
        <v>unglückliche Verkettung…</v>
      </c>
      <c r="F38">
        <f t="shared" ref="F38:F69" si="3">IF($C38=0, "", C38)</f>
        <v>2</v>
      </c>
      <c r="H38" t="str">
        <v/>
      </c>
      <c r="I38" t="str">
        <v/>
      </c>
    </row>
    <row r="39" spans="2:9" x14ac:dyDescent="0.25">
      <c r="B39" t="str">
        <v>no disruption</v>
      </c>
      <c r="C39">
        <f>COUNTIFS(Tabelle1[[#All],[Reason]],Statistics!B39, Tabelle1[[#All],[Valid]], "No")</f>
        <v>2</v>
      </c>
      <c r="E39" t="str">
        <f t="shared" si="2"/>
        <v>no disruption</v>
      </c>
      <c r="F39">
        <f t="shared" si="3"/>
        <v>2</v>
      </c>
      <c r="H39" t="str">
        <v/>
      </c>
      <c r="I39" t="str">
        <v/>
      </c>
    </row>
    <row r="40" spans="2:9" x14ac:dyDescent="0.25">
      <c r="B40" t="str">
        <v>double FP</v>
      </c>
      <c r="C40">
        <f>COUNTIFS(Tabelle1[[#All],[Reason]],Statistics!B40, Tabelle1[[#All],[Valid]], "No")</f>
        <v>7</v>
      </c>
      <c r="E40" t="str">
        <f t="shared" si="2"/>
        <v>double FP</v>
      </c>
      <c r="F40">
        <f t="shared" si="3"/>
        <v>7</v>
      </c>
      <c r="H40" t="str">
        <v/>
      </c>
      <c r="I40" t="str">
        <v/>
      </c>
    </row>
    <row r="41" spans="2:9" x14ac:dyDescent="0.25">
      <c r="B41" t="str">
        <v>peronal information</v>
      </c>
      <c r="C41">
        <f>COUNTIFS(Tabelle1[[#All],[Reason]],Statistics!B41, Tabelle1[[#All],[Valid]], "No")</f>
        <v>1</v>
      </c>
      <c r="E41" t="str">
        <f t="shared" si="2"/>
        <v>peronal information</v>
      </c>
      <c r="F41">
        <f t="shared" si="3"/>
        <v>1</v>
      </c>
      <c r="H41" t="str">
        <v/>
      </c>
      <c r="I41" t="str">
        <v/>
      </c>
    </row>
    <row r="42" spans="2:9" x14ac:dyDescent="0.25">
      <c r="B42" t="str">
        <v>Aufzählung</v>
      </c>
      <c r="C42">
        <f>COUNTIFS(Tabelle1[[#All],[Reason]],Statistics!B42, Tabelle1[[#All],[Valid]], "No")</f>
        <v>1</v>
      </c>
      <c r="E42" t="str">
        <f t="shared" si="2"/>
        <v>Aufzählung</v>
      </c>
      <c r="F42">
        <f t="shared" si="3"/>
        <v>1</v>
      </c>
      <c r="H42" t="str">
        <v/>
      </c>
      <c r="I42" t="str">
        <v/>
      </c>
    </row>
    <row r="43" spans="2:9" x14ac:dyDescent="0.25">
      <c r="B43" t="str">
        <v>also raus</v>
      </c>
      <c r="C43">
        <f>COUNTIFS(Tabelle1[[#All],[Reason]],Statistics!B43, Tabelle1[[#All],[Valid]], "No")</f>
        <v>1</v>
      </c>
      <c r="E43" t="str">
        <f t="shared" si="2"/>
        <v>also raus</v>
      </c>
      <c r="F43">
        <f t="shared" si="3"/>
        <v>1</v>
      </c>
      <c r="H43" t="str">
        <v/>
      </c>
      <c r="I43" t="str">
        <v/>
      </c>
    </row>
    <row r="44" spans="2:9" x14ac:dyDescent="0.25">
      <c r="B44" t="str">
        <v>vokuhila</v>
      </c>
      <c r="C44">
        <f>COUNTIFS(Tabelle1[[#All],[Reason]],Statistics!B44, Tabelle1[[#All],[Valid]], "No")</f>
        <v>0</v>
      </c>
      <c r="E44" t="str">
        <f t="shared" si="2"/>
        <v/>
      </c>
      <c r="F44" t="str">
        <f t="shared" si="3"/>
        <v/>
      </c>
      <c r="H44" t="str">
        <v/>
      </c>
      <c r="I44" t="str">
        <v/>
      </c>
    </row>
    <row r="45" spans="2:9" x14ac:dyDescent="0.25">
      <c r="B45" t="str">
        <v>ah, need more</v>
      </c>
      <c r="C45">
        <f>COUNTIFS(Tabelle1[[#All],[Reason]],Statistics!B45, Tabelle1[[#All],[Valid]], "No")</f>
        <v>0</v>
      </c>
      <c r="E45" t="str">
        <f t="shared" si="2"/>
        <v/>
      </c>
      <c r="F45" t="str">
        <f t="shared" si="3"/>
        <v/>
      </c>
      <c r="H45" t="str">
        <v/>
      </c>
      <c r="I45" t="str">
        <v/>
      </c>
    </row>
    <row r="46" spans="2:9" x14ac:dyDescent="0.25">
      <c r="B46" t="str">
        <v>hm rausscheiden</v>
      </c>
      <c r="C46">
        <f>COUNTIFS(Tabelle1[[#All],[Reason]],Statistics!B46, Tabelle1[[#All],[Valid]], "No")</f>
        <v>0</v>
      </c>
      <c r="E46" t="str">
        <f t="shared" si="2"/>
        <v/>
      </c>
      <c r="F46" t="str">
        <f t="shared" si="3"/>
        <v/>
      </c>
      <c r="H46" t="str">
        <v/>
      </c>
      <c r="I46" t="str">
        <v/>
      </c>
    </row>
    <row r="47" spans="2:9" x14ac:dyDescent="0.25">
      <c r="B47" t="str">
        <v>ah</v>
      </c>
      <c r="C47">
        <f>COUNTIFS(Tabelle1[[#All],[Reason]],Statistics!B47, Tabelle1[[#All],[Valid]], "No")</f>
        <v>0</v>
      </c>
      <c r="E47" t="str">
        <f t="shared" si="2"/>
        <v/>
      </c>
      <c r="F47" t="str">
        <f t="shared" si="3"/>
        <v/>
      </c>
      <c r="H47" t="str">
        <v/>
      </c>
      <c r="I47" t="str">
        <v/>
      </c>
    </row>
    <row r="48" spans="2:9" x14ac:dyDescent="0.25">
      <c r="B48" t="str">
        <v>long</v>
      </c>
      <c r="C48">
        <f>COUNTIFS(Tabelle1[[#All],[Reason]],Statistics!B48, Tabelle1[[#All],[Valid]], "No")</f>
        <v>0</v>
      </c>
      <c r="E48" t="str">
        <f t="shared" si="2"/>
        <v/>
      </c>
      <c r="F48" t="str">
        <f t="shared" si="3"/>
        <v/>
      </c>
      <c r="H48" t="str">
        <v/>
      </c>
      <c r="I48" t="str">
        <v/>
      </c>
    </row>
    <row r="49" spans="2:9" x14ac:dyDescent="0.25">
      <c r="B49" t="str">
        <v>dialect</v>
      </c>
      <c r="C49">
        <f>COUNTIFS(Tabelle1[[#All],[Reason]],Statistics!B49, Tabelle1[[#All],[Valid]], "No")</f>
        <v>0</v>
      </c>
      <c r="E49" t="str">
        <f t="shared" si="2"/>
        <v/>
      </c>
      <c r="F49" t="str">
        <f t="shared" si="3"/>
        <v/>
      </c>
      <c r="H49" t="str">
        <v/>
      </c>
      <c r="I49" t="str">
        <v/>
      </c>
    </row>
    <row r="50" spans="2:9" x14ac:dyDescent="0.25">
      <c r="B50" t="str">
        <v>shorten pause?</v>
      </c>
      <c r="C50">
        <f>COUNTIFS(Tabelle1[[#All],[Reason]],Statistics!B50, Tabelle1[[#All],[Valid]], "No")</f>
        <v>0</v>
      </c>
      <c r="E50" t="str">
        <f t="shared" si="2"/>
        <v/>
      </c>
      <c r="F50" t="str">
        <f t="shared" si="3"/>
        <v/>
      </c>
      <c r="H50" t="str">
        <v/>
      </c>
      <c r="I50" t="str">
        <v/>
      </c>
    </row>
    <row r="51" spans="2:9" x14ac:dyDescent="0.25">
      <c r="B51" t="str">
        <v>intentional FP</v>
      </c>
      <c r="C51">
        <f>COUNTIFS(Tabelle1[[#All],[Reason]],Statistics!B51, Tabelle1[[#All],[Valid]], "No")</f>
        <v>1</v>
      </c>
      <c r="E51" t="str">
        <f t="shared" si="2"/>
        <v>intentional FP</v>
      </c>
      <c r="F51">
        <f t="shared" si="3"/>
        <v>1</v>
      </c>
      <c r="H51" t="str">
        <v/>
      </c>
      <c r="I51" t="str">
        <v/>
      </c>
    </row>
    <row r="52" spans="2:9" x14ac:dyDescent="0.25">
      <c r="B52" t="str">
        <v>too many numbers</v>
      </c>
      <c r="C52">
        <f>COUNTIFS(Tabelle1[[#All],[Reason]],Statistics!B52, Tabelle1[[#All],[Valid]], "No")</f>
        <v>1</v>
      </c>
      <c r="E52" t="str">
        <f t="shared" si="2"/>
        <v>too many numbers</v>
      </c>
      <c r="F52">
        <f t="shared" si="3"/>
        <v>1</v>
      </c>
      <c r="H52" t="str">
        <v/>
      </c>
      <c r="I52" t="str">
        <v/>
      </c>
    </row>
    <row r="53" spans="2:9" x14ac:dyDescent="0.25">
      <c r="B53" t="str">
        <v>cut before Moräne</v>
      </c>
      <c r="C53">
        <f>COUNTIFS(Tabelle1[[#All],[Reason]],Statistics!B53, Tabelle1[[#All],[Valid]], "No")</f>
        <v>0</v>
      </c>
      <c r="E53" t="str">
        <f t="shared" si="2"/>
        <v/>
      </c>
      <c r="F53" t="str">
        <f t="shared" si="3"/>
        <v/>
      </c>
      <c r="H53" t="str">
        <v/>
      </c>
      <c r="I53" t="str">
        <v/>
      </c>
    </row>
    <row r="54" spans="2:9" x14ac:dyDescent="0.25">
      <c r="B54" t="str">
        <v>late correction</v>
      </c>
      <c r="C54">
        <f>COUNTIFS(Tabelle1[[#All],[Reason]],Statistics!B54, Tabelle1[[#All],[Valid]], "No")</f>
        <v>1</v>
      </c>
      <c r="E54" t="str">
        <f t="shared" si="2"/>
        <v>late correction</v>
      </c>
      <c r="F54">
        <f t="shared" si="3"/>
        <v>1</v>
      </c>
      <c r="H54" t="str">
        <v/>
      </c>
      <c r="I54" t="str">
        <v/>
      </c>
    </row>
    <row r="55" spans="2:9" x14ac:dyDescent="0.25">
      <c r="B55" t="str">
        <v>laughter rausschneiden</v>
      </c>
      <c r="C55">
        <f>COUNTIFS(Tabelle1[[#All],[Reason]],Statistics!B55, Tabelle1[[#All],[Valid]], "No")</f>
        <v>0</v>
      </c>
      <c r="E55" t="str">
        <f t="shared" si="2"/>
        <v/>
      </c>
      <c r="F55" t="str">
        <f t="shared" si="3"/>
        <v/>
      </c>
      <c r="H55" t="str">
        <v/>
      </c>
      <c r="I55" t="str">
        <v/>
      </c>
    </row>
    <row r="56" spans="2:9" x14ac:dyDescent="0.25">
      <c r="B56" t="str">
        <v>active speech</v>
      </c>
      <c r="C56">
        <f>COUNTIFS(Tabelle1[[#All],[Reason]],Statistics!B56, Tabelle1[[#All],[Valid]], "No")</f>
        <v>1</v>
      </c>
      <c r="E56" t="str">
        <f t="shared" si="2"/>
        <v>active speech</v>
      </c>
      <c r="F56">
        <f t="shared" si="3"/>
        <v>1</v>
      </c>
      <c r="H56" t="str">
        <v/>
      </c>
      <c r="I56" t="str">
        <v/>
      </c>
    </row>
    <row r="57" spans="2:9" x14ac:dyDescent="0.25">
      <c r="B57" t="str">
        <v>cut out "mit"?</v>
      </c>
      <c r="C57">
        <f>COUNTIFS(Tabelle1[[#All],[Reason]],Statistics!B57, Tabelle1[[#All],[Valid]], "No")</f>
        <v>0</v>
      </c>
      <c r="E57" t="str">
        <f t="shared" si="2"/>
        <v/>
      </c>
      <c r="F57" t="str">
        <f t="shared" si="3"/>
        <v/>
      </c>
      <c r="H57" t="str">
        <v/>
      </c>
      <c r="I57" t="str">
        <v/>
      </c>
    </row>
    <row r="58" spans="2:9" x14ac:dyDescent="0.25">
      <c r="C58">
        <f>COUNTIFS(Tabelle1[[#All],[Reason]],Statistics!B58, Tabelle1[[#All],[Valid]], "No")</f>
        <v>0</v>
      </c>
      <c r="E58" t="str">
        <f t="shared" si="2"/>
        <v/>
      </c>
      <c r="F58" t="str">
        <f t="shared" si="3"/>
        <v/>
      </c>
      <c r="H58" t="str">
        <v/>
      </c>
      <c r="I58" t="str">
        <v/>
      </c>
    </row>
    <row r="59" spans="2:9" x14ac:dyDescent="0.25">
      <c r="C59">
        <f>COUNTIFS(Tabelle1[[#All],[Reason]],Statistics!B59, Tabelle1[[#All],[Valid]], "No")</f>
        <v>0</v>
      </c>
      <c r="E59" t="str">
        <f t="shared" si="2"/>
        <v/>
      </c>
      <c r="F59" t="str">
        <f t="shared" si="3"/>
        <v/>
      </c>
      <c r="H59" t="str">
        <v/>
      </c>
      <c r="I59" t="str">
        <v/>
      </c>
    </row>
    <row r="60" spans="2:9" x14ac:dyDescent="0.25">
      <c r="C60">
        <f>COUNTIFS(Tabelle1[[#All],[Reason]],Statistics!B60, Tabelle1[[#All],[Valid]], "No")</f>
        <v>0</v>
      </c>
      <c r="E60" t="str">
        <f t="shared" si="2"/>
        <v/>
      </c>
      <c r="F60" t="str">
        <f t="shared" si="3"/>
        <v/>
      </c>
      <c r="H60" t="str">
        <v/>
      </c>
      <c r="I60" t="str">
        <v/>
      </c>
    </row>
    <row r="61" spans="2:9" x14ac:dyDescent="0.25">
      <c r="C61">
        <f>COUNTIFS(Tabelle1[[#All],[Reason]],Statistics!B61, Tabelle1[[#All],[Valid]], "No")</f>
        <v>0</v>
      </c>
      <c r="E61" t="str">
        <f t="shared" si="2"/>
        <v/>
      </c>
      <c r="F61" t="str">
        <f t="shared" si="3"/>
        <v/>
      </c>
      <c r="H61" t="str">
        <v/>
      </c>
      <c r="I61" t="str">
        <v/>
      </c>
    </row>
    <row r="62" spans="2:9" x14ac:dyDescent="0.25">
      <c r="C62">
        <f>COUNTIFS(Tabelle1[[#All],[Reason]],Statistics!B62, Tabelle1[[#All],[Valid]], "No")</f>
        <v>0</v>
      </c>
      <c r="E62" t="str">
        <f t="shared" si="2"/>
        <v/>
      </c>
      <c r="F62" t="str">
        <f t="shared" si="3"/>
        <v/>
      </c>
      <c r="H62" t="str">
        <v/>
      </c>
      <c r="I62" t="str">
        <v/>
      </c>
    </row>
    <row r="63" spans="2:9" x14ac:dyDescent="0.25">
      <c r="C63">
        <f>COUNTIFS(Tabelle1[[#All],[Reason]],Statistics!B63, Tabelle1[[#All],[Valid]], "No")</f>
        <v>0</v>
      </c>
      <c r="E63" t="str">
        <f t="shared" si="2"/>
        <v/>
      </c>
      <c r="F63" t="str">
        <f t="shared" si="3"/>
        <v/>
      </c>
      <c r="H63" t="str">
        <v>other df</v>
      </c>
      <c r="I63">
        <v>198</v>
      </c>
    </row>
    <row r="64" spans="2:9" x14ac:dyDescent="0.25">
      <c r="C64">
        <f>COUNTIFS(Tabelle1[[#All],[Reason]],Statistics!B64, Tabelle1[[#All],[Valid]], "No")</f>
        <v>0</v>
      </c>
      <c r="E64" t="str">
        <f t="shared" si="2"/>
        <v/>
      </c>
      <c r="F64" t="str">
        <f t="shared" si="3"/>
        <v/>
      </c>
      <c r="H64" t="str">
        <v>double talk</v>
      </c>
      <c r="I64">
        <v>74</v>
      </c>
    </row>
    <row r="65" spans="3:9" x14ac:dyDescent="0.25">
      <c r="C65">
        <f>COUNTIFS(Tabelle1[[#All],[Reason]],Statistics!B65, Tabelle1[[#All],[Valid]], "No")</f>
        <v>0</v>
      </c>
      <c r="E65" t="str">
        <f t="shared" si="2"/>
        <v/>
      </c>
      <c r="F65" t="str">
        <f t="shared" si="3"/>
        <v/>
      </c>
      <c r="H65" t="str">
        <v>initial FP</v>
      </c>
      <c r="I65">
        <v>50</v>
      </c>
    </row>
    <row r="66" spans="3:9" x14ac:dyDescent="0.25">
      <c r="C66">
        <f>COUNTIFS(Tabelle1[[#All],[Reason]],Statistics!B66, Tabelle1[[#All],[Valid]], "No")</f>
        <v>0</v>
      </c>
      <c r="E66" t="str">
        <f t="shared" si="2"/>
        <v/>
      </c>
      <c r="F66" t="str">
        <f t="shared" si="3"/>
        <v/>
      </c>
      <c r="H66" t="str">
        <v>hard to understand</v>
      </c>
      <c r="I66">
        <v>49</v>
      </c>
    </row>
    <row r="67" spans="3:9" x14ac:dyDescent="0.25">
      <c r="C67">
        <f>COUNTIFS(Tabelle1[[#All],[Reason]],Statistics!B67, Tabelle1[[#All],[Valid]], "No")</f>
        <v>0</v>
      </c>
      <c r="E67" t="str">
        <f t="shared" si="2"/>
        <v/>
      </c>
      <c r="F67" t="str">
        <f t="shared" si="3"/>
        <v/>
      </c>
      <c r="H67" t="str">
        <v>rare word</v>
      </c>
      <c r="I67">
        <v>40</v>
      </c>
    </row>
    <row r="68" spans="3:9" x14ac:dyDescent="0.25">
      <c r="C68">
        <f>COUNTIFS(Tabelle1[[#All],[Reason]],Statistics!B68, Tabelle1[[#All],[Valid]], "No")</f>
        <v>0</v>
      </c>
      <c r="E68" t="str">
        <f t="shared" si="2"/>
        <v/>
      </c>
      <c r="F68" t="str">
        <f t="shared" si="3"/>
        <v/>
      </c>
      <c r="H68" t="str">
        <v>short FP</v>
      </c>
      <c r="I68">
        <v>39</v>
      </c>
    </row>
    <row r="69" spans="3:9" x14ac:dyDescent="0.25">
      <c r="C69">
        <f>COUNTIFS(Tabelle1[[#All],[Reason]],Statistics!B69, Tabelle1[[#All],[Valid]], "No")</f>
        <v>0</v>
      </c>
      <c r="E69" t="str">
        <f t="shared" si="2"/>
        <v/>
      </c>
      <c r="F69" t="str">
        <f t="shared" si="3"/>
        <v/>
      </c>
      <c r="H69" t="str">
        <v>und äh</v>
      </c>
      <c r="I69">
        <v>36</v>
      </c>
    </row>
    <row r="70" spans="3:9" x14ac:dyDescent="0.25">
      <c r="C70">
        <f>COUNTIFS(Tabelle1[[#All],[Reason]],Statistics!B70, Tabelle1[[#All],[Valid]], "No")</f>
        <v>0</v>
      </c>
      <c r="E70" t="str">
        <f t="shared" ref="E70:E101" si="4">IF($C70=0, "", B70)</f>
        <v/>
      </c>
      <c r="F70" t="str">
        <f t="shared" ref="F70:F101" si="5">IF($C70=0, "", C70)</f>
        <v/>
      </c>
      <c r="H70" t="str">
        <v>laughter</v>
      </c>
      <c r="I70">
        <v>30</v>
      </c>
    </row>
    <row r="71" spans="3:9" x14ac:dyDescent="0.25">
      <c r="C71">
        <f>COUNTIFS(Tabelle1[[#All],[Reason]],Statistics!B71, Tabelle1[[#All],[Valid]], "No")</f>
        <v>0</v>
      </c>
      <c r="E71" t="str">
        <f t="shared" si="4"/>
        <v/>
      </c>
      <c r="F71" t="str">
        <f t="shared" si="5"/>
        <v/>
      </c>
      <c r="H71" t="str">
        <v>not enough speech</v>
      </c>
      <c r="I71">
        <v>27</v>
      </c>
    </row>
    <row r="72" spans="3:9" x14ac:dyDescent="0.25">
      <c r="C72">
        <f>COUNTIFS(Tabelle1[[#All],[Reason]],Statistics!B72, Tabelle1[[#All],[Valid]], "No")</f>
        <v>0</v>
      </c>
      <c r="E72" t="str">
        <f t="shared" si="4"/>
        <v/>
      </c>
      <c r="F72" t="str">
        <f t="shared" si="5"/>
        <v/>
      </c>
      <c r="H72" t="str">
        <v>name</v>
      </c>
      <c r="I72">
        <v>25</v>
      </c>
    </row>
    <row r="73" spans="3:9" x14ac:dyDescent="0.25">
      <c r="C73">
        <f>COUNTIFS(Tabelle1[[#All],[Reason]],Statistics!B73, Tabelle1[[#All],[Valid]], "No")</f>
        <v>0</v>
      </c>
      <c r="E73" t="str">
        <f t="shared" si="4"/>
        <v/>
      </c>
      <c r="F73" t="str">
        <f t="shared" si="5"/>
        <v/>
      </c>
      <c r="H73" t="str">
        <v>repetition</v>
      </c>
      <c r="I73">
        <v>21</v>
      </c>
    </row>
    <row r="74" spans="3:9" x14ac:dyDescent="0.25">
      <c r="C74">
        <f>COUNTIFS(Tabelle1[[#All],[Reason]],Statistics!B74, Tabelle1[[#All],[Valid]], "No")</f>
        <v>0</v>
      </c>
      <c r="E74" t="str">
        <f t="shared" si="4"/>
        <v/>
      </c>
      <c r="F74" t="str">
        <f t="shared" si="5"/>
        <v/>
      </c>
      <c r="H74" t="str">
        <v>answer</v>
      </c>
      <c r="I74">
        <v>12</v>
      </c>
    </row>
    <row r="75" spans="3:9" x14ac:dyDescent="0.25">
      <c r="C75">
        <f>COUNTIFS(Tabelle1[[#All],[Reason]],Statistics!B75, Tabelle1[[#All],[Valid]], "No")</f>
        <v>0</v>
      </c>
      <c r="E75" t="str">
        <f t="shared" si="4"/>
        <v/>
      </c>
      <c r="F75" t="str">
        <f t="shared" si="5"/>
        <v/>
      </c>
      <c r="H75" t="str">
        <v>long pause</v>
      </c>
      <c r="I75">
        <v>9</v>
      </c>
    </row>
    <row r="76" spans="3:9" x14ac:dyDescent="0.25">
      <c r="C76">
        <f>COUNTIFS(Tabelle1[[#All],[Reason]],Statistics!B76, Tabelle1[[#All],[Valid]], "No")</f>
        <v>0</v>
      </c>
      <c r="E76" t="str">
        <f t="shared" si="4"/>
        <v/>
      </c>
      <c r="F76" t="str">
        <f t="shared" si="5"/>
        <v/>
      </c>
      <c r="H76" t="str">
        <v>short after</v>
      </c>
      <c r="I76">
        <v>8</v>
      </c>
    </row>
    <row r="77" spans="3:9" x14ac:dyDescent="0.25">
      <c r="C77">
        <f>COUNTIFS(Tabelle1[[#All],[Reason]],Statistics!B77, Tabelle1[[#All],[Valid]], "No")</f>
        <v>0</v>
      </c>
      <c r="E77" t="str">
        <f t="shared" si="4"/>
        <v/>
      </c>
      <c r="F77" t="str">
        <f t="shared" si="5"/>
        <v/>
      </c>
      <c r="H77" t="str">
        <v>broken word</v>
      </c>
      <c r="I77">
        <v>8</v>
      </c>
    </row>
    <row r="78" spans="3:9" x14ac:dyDescent="0.25">
      <c r="C78">
        <f>COUNTIFS(Tabelle1[[#All],[Reason]],Statistics!B78, Tabelle1[[#All],[Valid]], "No")</f>
        <v>0</v>
      </c>
      <c r="E78" t="str">
        <f t="shared" si="4"/>
        <v/>
      </c>
      <c r="F78" t="str">
        <f t="shared" si="5"/>
        <v/>
      </c>
      <c r="H78" t="str">
        <v>glued</v>
      </c>
      <c r="I78">
        <v>7</v>
      </c>
    </row>
    <row r="79" spans="3:9" x14ac:dyDescent="0.25">
      <c r="C79">
        <f>COUNTIFS(Tabelle1[[#All],[Reason]],Statistics!B79, Tabelle1[[#All],[Valid]], "No")</f>
        <v>0</v>
      </c>
      <c r="E79" t="str">
        <f t="shared" si="4"/>
        <v/>
      </c>
      <c r="F79" t="str">
        <f t="shared" si="5"/>
        <v/>
      </c>
      <c r="H79" t="str">
        <v>closing FP</v>
      </c>
      <c r="I79">
        <v>7</v>
      </c>
    </row>
    <row r="80" spans="3:9" x14ac:dyDescent="0.25">
      <c r="C80">
        <f>COUNTIFS(Tabelle1[[#All],[Reason]],Statistics!B80, Tabelle1[[#All],[Valid]], "No")</f>
        <v>0</v>
      </c>
      <c r="E80" t="str">
        <f t="shared" si="4"/>
        <v/>
      </c>
      <c r="F80" t="str">
        <f t="shared" si="5"/>
        <v/>
      </c>
      <c r="H80" t="str">
        <v>double FP</v>
      </c>
      <c r="I80">
        <v>7</v>
      </c>
    </row>
    <row r="81" spans="3:9" x14ac:dyDescent="0.25">
      <c r="C81">
        <f>COUNTIFS(Tabelle1[[#All],[Reason]],Statistics!B81, Tabelle1[[#All],[Valid]], "No")</f>
        <v>0</v>
      </c>
      <c r="E81" t="str">
        <f t="shared" si="4"/>
        <v/>
      </c>
      <c r="F81" t="str">
        <f t="shared" si="5"/>
        <v/>
      </c>
      <c r="H81" t="str">
        <v>english</v>
      </c>
      <c r="I81">
        <v>6</v>
      </c>
    </row>
    <row r="82" spans="3:9" x14ac:dyDescent="0.25">
      <c r="C82">
        <f>COUNTIFS(Tabelle1[[#All],[Reason]],Statistics!B82, Tabelle1[[#All],[Valid]], "No")</f>
        <v>0</v>
      </c>
      <c r="E82" t="str">
        <f t="shared" si="4"/>
        <v/>
      </c>
      <c r="F82" t="str">
        <f t="shared" si="5"/>
        <v/>
      </c>
      <c r="H82" t="str">
        <v>disruption at wrong point</v>
      </c>
      <c r="I82">
        <v>4</v>
      </c>
    </row>
    <row r="83" spans="3:9" x14ac:dyDescent="0.25">
      <c r="C83">
        <f>COUNTIFS(Tabelle1[[#All],[Reason]],Statistics!B83, Tabelle1[[#All],[Valid]], "No")</f>
        <v>0</v>
      </c>
      <c r="E83" t="str">
        <f t="shared" si="4"/>
        <v/>
      </c>
      <c r="F83" t="str">
        <f t="shared" si="5"/>
        <v/>
      </c>
      <c r="H83" t="str">
        <v>not a FP</v>
      </c>
      <c r="I83">
        <v>3</v>
      </c>
    </row>
    <row r="84" spans="3:9" x14ac:dyDescent="0.25">
      <c r="C84">
        <f>COUNTIFS(Tabelle1[[#All],[Reason]],Statistics!B84, Tabelle1[[#All],[Valid]], "No")</f>
        <v>0</v>
      </c>
      <c r="E84" t="str">
        <f t="shared" si="4"/>
        <v/>
      </c>
      <c r="F84" t="str">
        <f t="shared" si="5"/>
        <v/>
      </c>
      <c r="H84" t="str">
        <v>need more</v>
      </c>
      <c r="I84">
        <v>3</v>
      </c>
    </row>
    <row r="85" spans="3:9" x14ac:dyDescent="0.25">
      <c r="C85">
        <f>COUNTIFS(Tabelle1[[#All],[Reason]],Statistics!B85, Tabelle1[[#All],[Valid]], "No")</f>
        <v>0</v>
      </c>
      <c r="E85" t="str">
        <f t="shared" si="4"/>
        <v/>
      </c>
      <c r="F85" t="str">
        <f t="shared" si="5"/>
        <v/>
      </c>
      <c r="H85" t="str">
        <v>not sure which case</v>
      </c>
      <c r="I85">
        <v>3</v>
      </c>
    </row>
    <row r="86" spans="3:9" x14ac:dyDescent="0.25">
      <c r="C86">
        <f>COUNTIFS(Tabelle1[[#All],[Reason]],Statistics!B86, Tabelle1[[#All],[Valid]], "No")</f>
        <v>0</v>
      </c>
      <c r="E86" t="str">
        <f t="shared" si="4"/>
        <v/>
      </c>
      <c r="F86" t="str">
        <f t="shared" si="5"/>
        <v/>
      </c>
      <c r="H86" t="str">
        <v>spelling</v>
      </c>
      <c r="I86">
        <v>2</v>
      </c>
    </row>
    <row r="87" spans="3:9" x14ac:dyDescent="0.25">
      <c r="C87">
        <f>COUNTIFS(Tabelle1[[#All],[Reason]],Statistics!B87, Tabelle1[[#All],[Valid]], "No")</f>
        <v>0</v>
      </c>
      <c r="E87" t="str">
        <f t="shared" si="4"/>
        <v/>
      </c>
      <c r="F87" t="str">
        <f t="shared" si="5"/>
        <v/>
      </c>
      <c r="H87" t="str">
        <v>short before</v>
      </c>
      <c r="I87">
        <v>2</v>
      </c>
    </row>
    <row r="88" spans="3:9" x14ac:dyDescent="0.25">
      <c r="C88">
        <f>COUNTIFS(Tabelle1[[#All],[Reason]],Statistics!B88, Tabelle1[[#All],[Valid]], "No")</f>
        <v>0</v>
      </c>
      <c r="E88" t="str">
        <f t="shared" si="4"/>
        <v/>
      </c>
      <c r="F88" t="str">
        <f t="shared" si="5"/>
        <v/>
      </c>
      <c r="H88" t="str">
        <v>eh</v>
      </c>
      <c r="I88">
        <v>2</v>
      </c>
    </row>
    <row r="89" spans="3:9" x14ac:dyDescent="0.25">
      <c r="C89">
        <f>COUNTIFS(Tabelle1[[#All],[Reason]],Statistics!B89, Tabelle1[[#All],[Valid]], "No")</f>
        <v>0</v>
      </c>
      <c r="E89" t="str">
        <f t="shared" si="4"/>
        <v/>
      </c>
      <c r="F89" t="str">
        <f t="shared" si="5"/>
        <v/>
      </c>
      <c r="H89" t="str">
        <v>not for sensitive audiences</v>
      </c>
      <c r="I89">
        <v>2</v>
      </c>
    </row>
    <row r="90" spans="3:9" x14ac:dyDescent="0.25">
      <c r="C90">
        <f>COUNTIFS(Tabelle1[[#All],[Reason]],Statistics!B90, Tabelle1[[#All],[Valid]], "No")</f>
        <v>0</v>
      </c>
      <c r="E90" t="str">
        <f t="shared" si="4"/>
        <v/>
      </c>
      <c r="F90" t="str">
        <f t="shared" si="5"/>
        <v/>
      </c>
      <c r="H90" t="str">
        <v>unglückliche Verkettung…</v>
      </c>
      <c r="I90">
        <v>2</v>
      </c>
    </row>
    <row r="91" spans="3:9" x14ac:dyDescent="0.25">
      <c r="C91">
        <f>COUNTIFS(Tabelle1[[#All],[Reason]],Statistics!B91, Tabelle1[[#All],[Valid]], "No")</f>
        <v>0</v>
      </c>
      <c r="E91" t="str">
        <f t="shared" si="4"/>
        <v/>
      </c>
      <c r="F91" t="str">
        <f t="shared" si="5"/>
        <v/>
      </c>
      <c r="H91" t="str">
        <v>no disruption</v>
      </c>
      <c r="I91">
        <v>2</v>
      </c>
    </row>
    <row r="92" spans="3:9" x14ac:dyDescent="0.25">
      <c r="C92">
        <f>COUNTIFS(Tabelle1[[#All],[Reason]],Statistics!B92, Tabelle1[[#All],[Valid]], "No")</f>
        <v>0</v>
      </c>
      <c r="E92" t="str">
        <f t="shared" si="4"/>
        <v/>
      </c>
      <c r="F92" t="str">
        <f t="shared" si="5"/>
        <v/>
      </c>
      <c r="H92" t="str">
        <v>Marke Meerschweinchen</v>
      </c>
      <c r="I92">
        <v>1</v>
      </c>
    </row>
    <row r="93" spans="3:9" x14ac:dyDescent="0.25">
      <c r="C93">
        <f>COUNTIFS(Tabelle1[[#All],[Reason]],Statistics!B93, Tabelle1[[#All],[Valid]], "No")</f>
        <v>0</v>
      </c>
      <c r="E93" t="str">
        <f t="shared" si="4"/>
        <v/>
      </c>
      <c r="F93" t="str">
        <f t="shared" si="5"/>
        <v/>
      </c>
      <c r="H93" t="str">
        <v>cough</v>
      </c>
      <c r="I93">
        <v>1</v>
      </c>
    </row>
    <row r="94" spans="3:9" x14ac:dyDescent="0.25">
      <c r="C94">
        <f>COUNTIFS(Tabelle1[[#All],[Reason]],Statistics!B94, Tabelle1[[#All],[Valid]], "No")</f>
        <v>0</v>
      </c>
      <c r="E94" t="str">
        <f t="shared" si="4"/>
        <v/>
      </c>
      <c r="F94" t="str">
        <f t="shared" si="5"/>
        <v/>
      </c>
      <c r="H94" t="str">
        <v>not a fitting case</v>
      </c>
      <c r="I94">
        <v>1</v>
      </c>
    </row>
    <row r="95" spans="3:9" x14ac:dyDescent="0.25">
      <c r="C95">
        <f>COUNTIFS(Tabelle1[[#All],[Reason]],Statistics!B95, Tabelle1[[#All],[Valid]], "No")</f>
        <v>0</v>
      </c>
      <c r="E95" t="str">
        <f t="shared" si="4"/>
        <v/>
      </c>
      <c r="F95" t="str">
        <f t="shared" si="5"/>
        <v/>
      </c>
      <c r="H95" t="str">
        <v>peronal information</v>
      </c>
      <c r="I95">
        <v>1</v>
      </c>
    </row>
    <row r="96" spans="3:9" x14ac:dyDescent="0.25">
      <c r="C96">
        <f>COUNTIFS(Tabelle1[[#All],[Reason]],Statistics!B96, Tabelle1[[#All],[Valid]], "No")</f>
        <v>0</v>
      </c>
      <c r="E96" t="str">
        <f t="shared" si="4"/>
        <v/>
      </c>
      <c r="F96" t="str">
        <f t="shared" si="5"/>
        <v/>
      </c>
      <c r="H96" t="str">
        <v>Aufzählung</v>
      </c>
      <c r="I96">
        <v>1</v>
      </c>
    </row>
    <row r="97" spans="3:9" x14ac:dyDescent="0.25">
      <c r="C97">
        <f>COUNTIFS(Tabelle1[[#All],[Reason]],Statistics!B97, Tabelle1[[#All],[Valid]], "No")</f>
        <v>0</v>
      </c>
      <c r="E97" t="str">
        <f t="shared" si="4"/>
        <v/>
      </c>
      <c r="F97" t="str">
        <f t="shared" si="5"/>
        <v/>
      </c>
      <c r="H97" t="str">
        <v>also raus</v>
      </c>
      <c r="I97">
        <v>1</v>
      </c>
    </row>
    <row r="98" spans="3:9" x14ac:dyDescent="0.25">
      <c r="C98">
        <f>COUNTIFS(Tabelle1[[#All],[Reason]],Statistics!B98, Tabelle1[[#All],[Valid]], "No")</f>
        <v>0</v>
      </c>
      <c r="E98" t="str">
        <f t="shared" si="4"/>
        <v/>
      </c>
      <c r="F98" t="str">
        <f t="shared" si="5"/>
        <v/>
      </c>
      <c r="H98" t="str">
        <v>intentional FP</v>
      </c>
      <c r="I98">
        <v>1</v>
      </c>
    </row>
    <row r="99" spans="3:9" x14ac:dyDescent="0.25">
      <c r="C99">
        <f>COUNTIFS(Tabelle1[[#All],[Reason]],Statistics!B99, Tabelle1[[#All],[Valid]], "No")</f>
        <v>0</v>
      </c>
      <c r="E99" t="str">
        <f t="shared" si="4"/>
        <v/>
      </c>
      <c r="F99" t="str">
        <f t="shared" si="5"/>
        <v/>
      </c>
      <c r="H99" t="str">
        <v>too many numbers</v>
      </c>
      <c r="I99">
        <v>1</v>
      </c>
    </row>
    <row r="100" spans="3:9" x14ac:dyDescent="0.25">
      <c r="C100">
        <f>COUNTIFS(Tabelle1[[#All],[Reason]],Statistics!B100, Tabelle1[[#All],[Valid]], "No")</f>
        <v>0</v>
      </c>
      <c r="E100" t="str">
        <f t="shared" si="4"/>
        <v/>
      </c>
      <c r="F100" t="str">
        <f t="shared" si="5"/>
        <v/>
      </c>
      <c r="H100" t="str">
        <v>late correction</v>
      </c>
      <c r="I100">
        <v>1</v>
      </c>
    </row>
    <row r="101" spans="3:9" x14ac:dyDescent="0.25">
      <c r="C101">
        <f>COUNTIFS(Tabelle1[[#All],[Reason]],Statistics!B101, Tabelle1[[#All],[Valid]], "No")</f>
        <v>0</v>
      </c>
      <c r="E101" t="str">
        <f t="shared" si="4"/>
        <v/>
      </c>
      <c r="F101" t="str">
        <f t="shared" si="5"/>
        <v/>
      </c>
      <c r="H101" t="str">
        <v>active speech</v>
      </c>
      <c r="I101">
        <v>1</v>
      </c>
    </row>
  </sheetData>
  <sortState xmlns:xlrd2="http://schemas.microsoft.com/office/spreadsheetml/2017/richdata2" ref="E6:F101">
    <sortCondition ref="E6:E10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Eckert</cp:lastModifiedBy>
  <dcterms:created xsi:type="dcterms:W3CDTF">2024-02-21T12:02:00Z</dcterms:created>
  <dcterms:modified xsi:type="dcterms:W3CDTF">2024-06-10T18:46:00Z</dcterms:modified>
</cp:coreProperties>
</file>